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28680" yWindow="-120" windowWidth="24240" windowHeight="13740" tabRatio="1000"/>
  </bookViews>
  <sheets>
    <sheet name="Total" sheetId="50" r:id="rId1"/>
    <sheet name="Male" sheetId="33" r:id="rId2"/>
    <sheet name="Female" sheetId="51" r:id="rId3"/>
  </sheets>
  <definedNames>
    <definedName name="_xlnm.Print_Area" localSheetId="2">Female!$B$2:$W$62</definedName>
    <definedName name="_xlnm.Print_Area" localSheetId="1">Male!$B$2:$W$62</definedName>
    <definedName name="_xlnm.Print_Area" localSheetId="0">Total!$B$1:$W$62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60" i="50" l="1"/>
  <c r="B2" i="50" l="1"/>
  <c r="A7" i="51" l="1"/>
  <c r="A7" i="33"/>
  <c r="B60" i="33" l="1"/>
  <c r="B2" i="33"/>
  <c r="B60" i="51"/>
  <c r="B2" i="51"/>
</calcChain>
</file>

<file path=xl/sharedStrings.xml><?xml version="1.0" encoding="utf-8"?>
<sst xmlns="http://schemas.openxmlformats.org/spreadsheetml/2006/main" count="412" uniqueCount="74">
  <si>
    <t>State</t>
  </si>
  <si>
    <t>American Indian or
Alaska Native</t>
  </si>
  <si>
    <t>Asian</t>
  </si>
  <si>
    <t>Hispanic or Latino of any race</t>
  </si>
  <si>
    <t>Black or African American</t>
  </si>
  <si>
    <t>White</t>
  </si>
  <si>
    <t>Native Hawaiian or Other Pacific Islander</t>
  </si>
  <si>
    <t>Two or more races</t>
  </si>
  <si>
    <t>Number</t>
  </si>
  <si>
    <t>Percent</t>
  </si>
  <si>
    <t>Race/Ethnicity</t>
  </si>
  <si>
    <t>United States</t>
  </si>
  <si>
    <t>Total Students</t>
  </si>
  <si>
    <t>English Language Learners</t>
  </si>
  <si>
    <t xml:space="preserve">Percent of Schools Reporting </t>
  </si>
  <si>
    <t>Percent </t>
  </si>
  <si>
    <t>Number of Schools</t>
  </si>
  <si>
    <t xml:space="preserve">Students With Disabilities Served Under IDEA </t>
  </si>
  <si>
    <t>enrolled in at least one Advanced Placement course</t>
  </si>
  <si>
    <t>receiving one or more out-of-school suspensions</t>
  </si>
  <si>
    <t>enrolled in early childhood and prekindergarten programs or services</t>
  </si>
  <si>
    <t>Hawaii</t>
  </si>
  <si>
    <t>Alaska</t>
  </si>
  <si>
    <t>Alabama</t>
  </si>
  <si>
    <t>Arkansas</t>
  </si>
  <si>
    <t>Arizona</t>
  </si>
  <si>
    <t>California</t>
  </si>
  <si>
    <t>Colorado</t>
  </si>
  <si>
    <t>Connecticut</t>
  </si>
  <si>
    <t>District of Columbia</t>
  </si>
  <si>
    <t>Delaware</t>
  </si>
  <si>
    <t>Florida</t>
  </si>
  <si>
    <t>Georgia</t>
  </si>
  <si>
    <t>Iowa</t>
  </si>
  <si>
    <t>Idaho</t>
  </si>
  <si>
    <t>Illinois</t>
  </si>
  <si>
    <t>Indiana</t>
  </si>
  <si>
    <t>Kansas</t>
  </si>
  <si>
    <t>Kentucky</t>
  </si>
  <si>
    <t>Louisiana</t>
  </si>
  <si>
    <t>Massachusetts</t>
  </si>
  <si>
    <t>Maryland</t>
  </si>
  <si>
    <t>Maine</t>
  </si>
  <si>
    <t>Michigan</t>
  </si>
  <si>
    <t>Minnesota</t>
  </si>
  <si>
    <t>Missouri</t>
  </si>
  <si>
    <t>Mississippi</t>
  </si>
  <si>
    <t>Montana</t>
  </si>
  <si>
    <t>North Carolina</t>
  </si>
  <si>
    <t>North Dakota</t>
  </si>
  <si>
    <t>Nebraska</t>
  </si>
  <si>
    <t>New Hampshire</t>
  </si>
  <si>
    <t>New Jersey</t>
  </si>
  <si>
    <t>New Mexico</t>
  </si>
  <si>
    <t>Nevada</t>
  </si>
  <si>
    <t>New York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</si>
  <si>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</si>
  <si>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</si>
  <si>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</si>
  <si>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</si>
  <si>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</si>
  <si>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</si>
  <si>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</si>
  <si>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</si>
  <si>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</si>
  <si>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</si>
  <si>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</si>
  <si>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</si>
  <si>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</si>
  <si>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</si>
  <si>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</si>
  <si>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</si>
  <si>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           Data reported in this table represent 100.0% of responding schools.</t>
  </si>
  <si>
    <t>SOURCE: U.S. Department of Education, Office for Civil Rights, Civil Rights Data Collection, 2015-16, available at http://ocrdata.ed.gov. Data notes are available at https://ocrdata.ed.gov/Downloads/Data-Notes-2015-16-CRDC.pdf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</si>
</sst>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_)"/>
    <numFmt numFmtId="165" formatCode="#,##0_)"/>
  </numFmts>
  <fonts count="21" x14ac:knownFonts="1">
    <font>
      <sz val="10"/>
      <color theme="1"/>
      <name val="Arial Narrow"/>
      <family val="2"/>
    </font>
    <font>
      <sz val="10"/>
      <color theme="1"/>
      <name val="Arial Narrow"/>
      <family val="2"/>
    </font>
    <font>
      <sz val="10"/>
      <color theme="1"/>
      <name val="Arial Narrow"/>
      <family val="2"/>
    </font>
    <font>
      <b/>
      <sz val="11"/>
      <color rgb="FF333399"/>
      <name val="Arial"/>
      <family val="2"/>
    </font>
    <font>
      <sz val="11"/>
      <color rgb="FF333399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rgb="FF333399"/>
      <name val="Arial"/>
      <family val="2"/>
    </font>
    <font>
      <sz val="14"/>
      <color theme="1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u/>
      <sz val="10"/>
      <color theme="10"/>
      <name val="Arial Narrow"/>
      <family val="2"/>
    </font>
    <font>
      <u/>
      <sz val="10"/>
      <color theme="11"/>
      <name val="Arial Narrow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58800012207406E-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214">
    <xf numFmtId="0" fontId="0" fillId="0" borderId="0"/>
    <xf numFmtId="0" fontId="2" fillId="0" borderId="0"/>
    <xf numFmtId="0" fontId="5" fillId="0" borderId="0"/>
    <xf numFmtId="0" fontId="9" fillId="0" borderId="0"/>
    <xf numFmtId="0" fontId="9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98">
    <xf numFmtId="0" fontId="0" fillId="0" borderId="0" xfId="0"/>
    <xf numFmtId="0" fontId="6" fillId="0" borderId="0" xfId="2" applyFont="1"/>
    <xf numFmtId="0" fontId="8" fillId="0" borderId="0" xfId="2" applyFont="1" applyAlignment="1">
      <alignment horizontal="left"/>
    </xf>
    <xf numFmtId="0" fontId="3" fillId="0" borderId="1" xfId="1" applyFont="1" applyBorder="1"/>
    <xf numFmtId="1" fontId="4" fillId="0" borderId="1" xfId="1" applyNumberFormat="1" applyFont="1" applyBorder="1" applyAlignment="1">
      <alignment wrapText="1"/>
    </xf>
    <xf numFmtId="0" fontId="6" fillId="0" borderId="0" xfId="2" applyFont="1" applyBorder="1"/>
    <xf numFmtId="0" fontId="10" fillId="0" borderId="0" xfId="4" applyFont="1" applyBorder="1"/>
    <xf numFmtId="0" fontId="10" fillId="0" borderId="0" xfId="4" applyFont="1"/>
    <xf numFmtId="0" fontId="13" fillId="0" borderId="0" xfId="2" applyFont="1"/>
    <xf numFmtId="0" fontId="14" fillId="0" borderId="0" xfId="2" applyFont="1" applyAlignment="1">
      <alignment horizontal="left"/>
    </xf>
    <xf numFmtId="0" fontId="13" fillId="0" borderId="0" xfId="4" applyFont="1"/>
    <xf numFmtId="0" fontId="15" fillId="0" borderId="0" xfId="2" applyFont="1" applyFill="1" applyAlignment="1"/>
    <xf numFmtId="0" fontId="17" fillId="0" borderId="0" xfId="2" applyFont="1" applyFill="1" applyAlignment="1"/>
    <xf numFmtId="0" fontId="16" fillId="0" borderId="10" xfId="3" applyFont="1" applyFill="1" applyBorder="1" applyAlignment="1"/>
    <xf numFmtId="1" fontId="16" fillId="0" borderId="11" xfId="3" applyNumberFormat="1" applyFont="1" applyFill="1" applyBorder="1" applyAlignment="1">
      <alignment horizontal="right" wrapText="1"/>
    </xf>
    <xf numFmtId="1" fontId="16" fillId="0" borderId="16" xfId="0" applyNumberFormat="1" applyFont="1" applyBorder="1" applyAlignment="1">
      <alignment horizontal="right" wrapText="1"/>
    </xf>
    <xf numFmtId="1" fontId="16" fillId="0" borderId="1" xfId="3" applyNumberFormat="1" applyFont="1" applyFill="1" applyBorder="1" applyAlignment="1">
      <alignment horizontal="right" wrapText="1"/>
    </xf>
    <xf numFmtId="1" fontId="16" fillId="0" borderId="18" xfId="0" applyNumberFormat="1" applyFont="1" applyBorder="1" applyAlignment="1">
      <alignment horizontal="right" wrapText="1"/>
    </xf>
    <xf numFmtId="1" fontId="16" fillId="0" borderId="10" xfId="3" applyNumberFormat="1" applyFont="1" applyFill="1" applyBorder="1" applyAlignment="1">
      <alignment horizontal="right" wrapText="1"/>
    </xf>
    <xf numFmtId="1" fontId="16" fillId="0" borderId="21" xfId="3" applyNumberFormat="1" applyFont="1" applyFill="1" applyBorder="1" applyAlignment="1">
      <alignment wrapText="1"/>
    </xf>
    <xf numFmtId="1" fontId="16" fillId="0" borderId="17" xfId="3" applyNumberFormat="1" applyFont="1" applyFill="1" applyBorder="1" applyAlignment="1">
      <alignment wrapText="1"/>
    </xf>
    <xf numFmtId="0" fontId="15" fillId="0" borderId="0" xfId="4" applyFont="1" applyFill="1"/>
    <xf numFmtId="0" fontId="17" fillId="0" borderId="0" xfId="4" applyFont="1" applyFill="1"/>
    <xf numFmtId="0" fontId="17" fillId="0" borderId="0" xfId="23" applyFont="1" applyFill="1" applyBorder="1"/>
    <xf numFmtId="165" fontId="17" fillId="0" borderId="20" xfId="2" applyNumberFormat="1" applyFont="1" applyFill="1" applyBorder="1" applyAlignment="1">
      <alignment horizontal="right"/>
    </xf>
    <xf numFmtId="165" fontId="17" fillId="0" borderId="13" xfId="2" applyNumberFormat="1" applyFont="1" applyFill="1" applyBorder="1" applyAlignment="1">
      <alignment horizontal="right"/>
    </xf>
    <xf numFmtId="164" fontId="17" fillId="0" borderId="14" xfId="2" applyNumberFormat="1" applyFont="1" applyFill="1" applyBorder="1" applyAlignment="1">
      <alignment horizontal="right"/>
    </xf>
    <xf numFmtId="165" fontId="17" fillId="0" borderId="0" xfId="2" applyNumberFormat="1" applyFont="1" applyFill="1" applyBorder="1" applyAlignment="1">
      <alignment horizontal="right"/>
    </xf>
    <xf numFmtId="165" fontId="17" fillId="0" borderId="19" xfId="2" applyNumberFormat="1" applyFont="1" applyFill="1" applyBorder="1" applyAlignment="1">
      <alignment horizontal="right"/>
    </xf>
    <xf numFmtId="164" fontId="17" fillId="0" borderId="5" xfId="2" applyNumberFormat="1" applyFont="1" applyFill="1" applyBorder="1" applyAlignment="1">
      <alignment horizontal="right"/>
    </xf>
    <xf numFmtId="164" fontId="17" fillId="0" borderId="0" xfId="2" applyNumberFormat="1" applyFont="1" applyFill="1" applyBorder="1" applyAlignment="1">
      <alignment horizontal="right"/>
    </xf>
    <xf numFmtId="37" fontId="17" fillId="0" borderId="20" xfId="4" applyNumberFormat="1" applyFont="1" applyFill="1" applyBorder="1"/>
    <xf numFmtId="164" fontId="17" fillId="0" borderId="19" xfId="2" applyNumberFormat="1" applyFont="1" applyFill="1" applyBorder="1"/>
    <xf numFmtId="165" fontId="17" fillId="0" borderId="0" xfId="2" quotePrefix="1" applyNumberFormat="1" applyFont="1" applyFill="1" applyBorder="1" applyAlignment="1">
      <alignment horizontal="right"/>
    </xf>
    <xf numFmtId="165" fontId="17" fillId="0" borderId="13" xfId="2" quotePrefix="1" applyNumberFormat="1" applyFont="1" applyFill="1" applyBorder="1" applyAlignment="1">
      <alignment horizontal="right"/>
    </xf>
    <xf numFmtId="165" fontId="17" fillId="0" borderId="19" xfId="2" quotePrefix="1" applyNumberFormat="1" applyFont="1" applyFill="1" applyBorder="1" applyAlignment="1">
      <alignment horizontal="right"/>
    </xf>
    <xf numFmtId="165" fontId="17" fillId="0" borderId="20" xfId="2" quotePrefix="1" applyNumberFormat="1" applyFont="1" applyFill="1" applyBorder="1" applyAlignment="1">
      <alignment horizontal="right"/>
    </xf>
    <xf numFmtId="164" fontId="17" fillId="0" borderId="14" xfId="2" quotePrefix="1" applyNumberFormat="1" applyFont="1" applyFill="1" applyBorder="1" applyAlignment="1">
      <alignment horizontal="right"/>
    </xf>
    <xf numFmtId="0" fontId="19" fillId="0" borderId="0" xfId="2" applyFont="1"/>
    <xf numFmtId="0" fontId="17" fillId="0" borderId="0" xfId="4" applyFont="1"/>
    <xf numFmtId="1" fontId="16" fillId="0" borderId="31" xfId="3" applyNumberFormat="1" applyFont="1" applyFill="1" applyBorder="1" applyAlignment="1">
      <alignment vertical="center" wrapText="1"/>
    </xf>
    <xf numFmtId="0" fontId="15" fillId="0" borderId="0" xfId="4" applyFont="1"/>
    <xf numFmtId="0" fontId="17" fillId="0" borderId="0" xfId="2" quotePrefix="1" applyFont="1" applyFill="1" applyAlignment="1">
      <alignment horizontal="left"/>
    </xf>
    <xf numFmtId="0" fontId="19" fillId="0" borderId="0" xfId="2" applyFont="1" applyBorder="1"/>
    <xf numFmtId="0" fontId="17" fillId="0" borderId="0" xfId="4" applyFont="1" applyBorder="1"/>
    <xf numFmtId="0" fontId="19" fillId="0" borderId="0" xfId="2" quotePrefix="1" applyFont="1"/>
    <xf numFmtId="0" fontId="7" fillId="0" borderId="0" xfId="1" applyFont="1" applyAlignment="1"/>
    <xf numFmtId="0" fontId="17" fillId="2" borderId="12" xfId="3" applyFont="1" applyFill="1" applyBorder="1" applyAlignment="1">
      <alignment horizontal="left" vertical="center"/>
    </xf>
    <xf numFmtId="165" fontId="17" fillId="2" borderId="20" xfId="2" applyNumberFormat="1" applyFont="1" applyFill="1" applyBorder="1" applyAlignment="1">
      <alignment horizontal="right"/>
    </xf>
    <xf numFmtId="165" fontId="17" fillId="2" borderId="13" xfId="2" applyNumberFormat="1" applyFont="1" applyFill="1" applyBorder="1" applyAlignment="1">
      <alignment horizontal="right"/>
    </xf>
    <xf numFmtId="164" fontId="17" fillId="2" borderId="14" xfId="2" applyNumberFormat="1" applyFont="1" applyFill="1" applyBorder="1" applyAlignment="1">
      <alignment horizontal="right"/>
    </xf>
    <xf numFmtId="165" fontId="17" fillId="2" borderId="0" xfId="2" applyNumberFormat="1" applyFont="1" applyFill="1" applyBorder="1" applyAlignment="1">
      <alignment horizontal="right"/>
    </xf>
    <xf numFmtId="165" fontId="17" fillId="2" borderId="0" xfId="2" quotePrefix="1" applyNumberFormat="1" applyFont="1" applyFill="1" applyBorder="1" applyAlignment="1">
      <alignment horizontal="right"/>
    </xf>
    <xf numFmtId="165" fontId="17" fillId="2" borderId="19" xfId="2" applyNumberFormat="1" applyFont="1" applyFill="1" applyBorder="1" applyAlignment="1">
      <alignment horizontal="right"/>
    </xf>
    <xf numFmtId="164" fontId="17" fillId="2" borderId="5" xfId="2" applyNumberFormat="1" applyFont="1" applyFill="1" applyBorder="1" applyAlignment="1">
      <alignment horizontal="right"/>
    </xf>
    <xf numFmtId="165" fontId="17" fillId="2" borderId="23" xfId="2" applyNumberFormat="1" applyFont="1" applyFill="1" applyBorder="1" applyAlignment="1">
      <alignment horizontal="right"/>
    </xf>
    <xf numFmtId="164" fontId="17" fillId="2" borderId="0" xfId="2" applyNumberFormat="1" applyFont="1" applyFill="1" applyBorder="1" applyAlignment="1">
      <alignment horizontal="right"/>
    </xf>
    <xf numFmtId="37" fontId="17" fillId="2" borderId="20" xfId="4" applyNumberFormat="1" applyFont="1" applyFill="1" applyBorder="1"/>
    <xf numFmtId="164" fontId="17" fillId="2" borderId="19" xfId="2" applyNumberFormat="1" applyFont="1" applyFill="1" applyBorder="1"/>
    <xf numFmtId="0" fontId="17" fillId="2" borderId="0" xfId="23" applyFont="1" applyFill="1" applyBorder="1"/>
    <xf numFmtId="165" fontId="17" fillId="2" borderId="19" xfId="2" quotePrefix="1" applyNumberFormat="1" applyFont="1" applyFill="1" applyBorder="1" applyAlignment="1">
      <alignment horizontal="right"/>
    </xf>
    <xf numFmtId="165" fontId="17" fillId="2" borderId="13" xfId="2" quotePrefix="1" applyNumberFormat="1" applyFont="1" applyFill="1" applyBorder="1" applyAlignment="1">
      <alignment horizontal="right"/>
    </xf>
    <xf numFmtId="165" fontId="17" fillId="2" borderId="20" xfId="2" quotePrefix="1" applyNumberFormat="1" applyFont="1" applyFill="1" applyBorder="1" applyAlignment="1">
      <alignment horizontal="right"/>
    </xf>
    <xf numFmtId="0" fontId="17" fillId="0" borderId="1" xfId="23" applyFont="1" applyFill="1" applyBorder="1"/>
    <xf numFmtId="165" fontId="17" fillId="0" borderId="21" xfId="2" quotePrefix="1" applyNumberFormat="1" applyFont="1" applyFill="1" applyBorder="1" applyAlignment="1">
      <alignment horizontal="right"/>
    </xf>
    <xf numFmtId="165" fontId="17" fillId="0" borderId="11" xfId="2" quotePrefix="1" applyNumberFormat="1" applyFont="1" applyFill="1" applyBorder="1" applyAlignment="1">
      <alignment horizontal="right"/>
    </xf>
    <xf numFmtId="164" fontId="17" fillId="0" borderId="15" xfId="2" applyNumberFormat="1" applyFont="1" applyFill="1" applyBorder="1" applyAlignment="1">
      <alignment horizontal="right"/>
    </xf>
    <xf numFmtId="165" fontId="17" fillId="0" borderId="1" xfId="2" applyNumberFormat="1" applyFont="1" applyFill="1" applyBorder="1" applyAlignment="1">
      <alignment horizontal="right"/>
    </xf>
    <xf numFmtId="165" fontId="17" fillId="0" borderId="1" xfId="2" quotePrefix="1" applyNumberFormat="1" applyFont="1" applyFill="1" applyBorder="1" applyAlignment="1">
      <alignment horizontal="right"/>
    </xf>
    <xf numFmtId="165" fontId="17" fillId="0" borderId="17" xfId="2" quotePrefix="1" applyNumberFormat="1" applyFont="1" applyFill="1" applyBorder="1" applyAlignment="1">
      <alignment horizontal="right"/>
    </xf>
    <xf numFmtId="164" fontId="17" fillId="0" borderId="10" xfId="2" applyNumberFormat="1" applyFont="1" applyFill="1" applyBorder="1" applyAlignment="1">
      <alignment horizontal="right"/>
    </xf>
    <xf numFmtId="165" fontId="17" fillId="0" borderId="11" xfId="2" applyNumberFormat="1" applyFont="1" applyFill="1" applyBorder="1" applyAlignment="1">
      <alignment horizontal="right"/>
    </xf>
    <xf numFmtId="164" fontId="17" fillId="0" borderId="1" xfId="2" applyNumberFormat="1" applyFont="1" applyFill="1" applyBorder="1" applyAlignment="1">
      <alignment horizontal="right"/>
    </xf>
    <xf numFmtId="37" fontId="17" fillId="0" borderId="21" xfId="4" applyNumberFormat="1" applyFont="1" applyFill="1" applyBorder="1"/>
    <xf numFmtId="164" fontId="17" fillId="0" borderId="17" xfId="2" applyNumberFormat="1" applyFont="1" applyFill="1" applyBorder="1"/>
    <xf numFmtId="37" fontId="17" fillId="2" borderId="20" xfId="4" applyNumberFormat="1" applyFont="1" applyFill="1" applyBorder="1" applyAlignment="1">
      <alignment horizontal="right"/>
    </xf>
    <xf numFmtId="164" fontId="17" fillId="2" borderId="19" xfId="2" applyNumberFormat="1" applyFont="1" applyFill="1" applyBorder="1" applyAlignment="1">
      <alignment horizontal="right"/>
    </xf>
    <xf numFmtId="1" fontId="16" fillId="0" borderId="8" xfId="3" applyNumberFormat="1" applyFont="1" applyFill="1" applyBorder="1" applyAlignment="1">
      <alignment horizontal="center" wrapText="1"/>
    </xf>
    <xf numFmtId="1" fontId="16" fillId="0" borderId="7" xfId="3" applyNumberFormat="1" applyFont="1" applyFill="1" applyBorder="1" applyAlignment="1">
      <alignment horizontal="center" wrapText="1"/>
    </xf>
    <xf numFmtId="1" fontId="16" fillId="0" borderId="9" xfId="3" applyNumberFormat="1" applyFont="1" applyFill="1" applyBorder="1" applyAlignment="1">
      <alignment horizontal="center" wrapText="1"/>
    </xf>
    <xf numFmtId="0" fontId="17" fillId="0" borderId="0" xfId="4" applyFont="1" applyFill="1" applyBorder="1" applyAlignment="1">
      <alignment vertical="center"/>
    </xf>
    <xf numFmtId="0" fontId="16" fillId="0" borderId="2" xfId="3" applyFont="1" applyFill="1" applyBorder="1" applyAlignment="1">
      <alignment horizontal="left"/>
    </xf>
    <xf numFmtId="0" fontId="16" fillId="0" borderId="5" xfId="3" applyFont="1" applyFill="1" applyBorder="1" applyAlignment="1">
      <alignment horizontal="left"/>
    </xf>
    <xf numFmtId="1" fontId="16" fillId="0" borderId="27" xfId="3" applyNumberFormat="1" applyFont="1" applyFill="1" applyBorder="1" applyAlignment="1">
      <alignment horizontal="center" wrapText="1"/>
    </xf>
    <xf numFmtId="1" fontId="16" fillId="0" borderId="29" xfId="3" applyNumberFormat="1" applyFont="1" applyFill="1" applyBorder="1" applyAlignment="1">
      <alignment horizontal="center" wrapText="1"/>
    </xf>
    <xf numFmtId="1" fontId="16" fillId="0" borderId="3" xfId="3" applyNumberFormat="1" applyFont="1" applyFill="1" applyBorder="1" applyAlignment="1">
      <alignment horizontal="center" vertical="center"/>
    </xf>
    <xf numFmtId="1" fontId="16" fillId="0" borderId="4" xfId="3" applyNumberFormat="1" applyFont="1" applyFill="1" applyBorder="1" applyAlignment="1">
      <alignment horizontal="center" vertical="center"/>
    </xf>
    <xf numFmtId="1" fontId="16" fillId="0" borderId="26" xfId="3" applyNumberFormat="1" applyFont="1" applyFill="1" applyBorder="1" applyAlignment="1">
      <alignment horizontal="center" vertical="center"/>
    </xf>
    <xf numFmtId="1" fontId="16" fillId="0" borderId="23" xfId="3" applyNumberFormat="1" applyFont="1" applyFill="1" applyBorder="1" applyAlignment="1">
      <alignment horizontal="center" wrapText="1"/>
    </xf>
    <xf numFmtId="1" fontId="16" fillId="0" borderId="2" xfId="3" applyNumberFormat="1" applyFont="1" applyFill="1" applyBorder="1" applyAlignment="1">
      <alignment horizontal="center" wrapText="1"/>
    </xf>
    <xf numFmtId="1" fontId="16" fillId="0" borderId="24" xfId="3" applyNumberFormat="1" applyFont="1" applyFill="1" applyBorder="1" applyAlignment="1">
      <alignment horizontal="center" wrapText="1"/>
    </xf>
    <xf numFmtId="1" fontId="16" fillId="0" borderId="25" xfId="3" applyNumberFormat="1" applyFont="1" applyFill="1" applyBorder="1" applyAlignment="1">
      <alignment horizontal="center" wrapText="1"/>
    </xf>
    <xf numFmtId="1" fontId="16" fillId="0" borderId="22" xfId="3" applyNumberFormat="1" applyFont="1" applyFill="1" applyBorder="1" applyAlignment="1">
      <alignment horizontal="center" wrapText="1"/>
    </xf>
    <xf numFmtId="1" fontId="16" fillId="0" borderId="20" xfId="3" applyNumberFormat="1" applyFont="1" applyFill="1" applyBorder="1" applyAlignment="1">
      <alignment horizontal="center" wrapText="1"/>
    </xf>
    <xf numFmtId="1" fontId="16" fillId="0" borderId="28" xfId="3" applyNumberFormat="1" applyFont="1" applyFill="1" applyBorder="1" applyAlignment="1">
      <alignment horizontal="center" wrapText="1"/>
    </xf>
    <xf numFmtId="1" fontId="18" fillId="0" borderId="19" xfId="3" applyNumberFormat="1" applyFont="1" applyFill="1" applyBorder="1" applyAlignment="1">
      <alignment horizontal="center" wrapText="1"/>
    </xf>
    <xf numFmtId="1" fontId="16" fillId="0" borderId="6" xfId="3" applyNumberFormat="1" applyFont="1" applyFill="1" applyBorder="1" applyAlignment="1">
      <alignment horizontal="center" wrapText="1"/>
    </xf>
    <xf numFmtId="1" fontId="16" fillId="0" borderId="30" xfId="3" applyNumberFormat="1" applyFont="1" applyFill="1" applyBorder="1" applyAlignment="1">
      <alignment horizontal="center" wrapText="1"/>
    </xf>
  </cellXfs>
  <cellStyles count="214"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0" builtinId="9" hidden="1"/>
    <cellStyle name="Followed Hyperlink" xfId="101" builtinId="9" hidden="1"/>
    <cellStyle name="Followed Hyperlink" xfId="102" builtinId="9" hidden="1"/>
    <cellStyle name="Followed Hyperlink" xfId="103" builtinId="9" hidden="1"/>
    <cellStyle name="Followed Hyperlink" xfId="104" builtinId="9" hidden="1"/>
    <cellStyle name="Followed Hyperlink" xfId="105" builtinId="9" hidden="1"/>
    <cellStyle name="Followed Hyperlink" xfId="106" builtinId="9" hidden="1"/>
    <cellStyle name="Followed Hyperlink" xfId="107" builtinId="9" hidden="1"/>
    <cellStyle name="Followed Hyperlink" xfId="108" builtinId="9" hidden="1"/>
    <cellStyle name="Followed Hyperlink" xfId="109" builtinId="9" hidden="1"/>
    <cellStyle name="Followed Hyperlink" xfId="110" builtinId="9" hidden="1"/>
    <cellStyle name="Followed Hyperlink" xfId="111" builtinId="9" hidden="1"/>
    <cellStyle name="Followed Hyperlink" xfId="112" builtinId="9" hidden="1"/>
    <cellStyle name="Followed Hyperlink" xfId="113" builtinId="9" hidden="1"/>
    <cellStyle name="Followed Hyperlink" xfId="114" builtinId="9" hidden="1"/>
    <cellStyle name="Followed Hyperlink" xfId="115" builtinId="9" hidden="1"/>
    <cellStyle name="Followed Hyperlink" xfId="116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Normal" xfId="0" builtinId="0"/>
    <cellStyle name="Normal 2 2" xfId="4"/>
    <cellStyle name="Normal 3" xfId="2"/>
    <cellStyle name="Normal 6" xfId="3"/>
    <cellStyle name="Normal 9" xfId="1"/>
    <cellStyle name="Normal 9 2" xfId="2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5"/>
  <sheetViews>
    <sheetView showGridLines="0" tabSelected="1" zoomScale="80" zoomScaleNormal="80" workbookViewId="0"/>
  </sheetViews>
  <sheetFormatPr defaultColWidth="12.1640625" defaultRowHeight="15" customHeight="1" x14ac:dyDescent="0.2"/>
  <cols>
    <col min="1" max="1" width="3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3" s="2" customFormat="1" ht="15" customHeight="1" x14ac:dyDescent="0.25">
      <c r="A2" s="9"/>
      <c r="B2" s="46" t="str">
        <f>CONCATENATE("Number and percentage of public school preschool students ",A7, ", by race/ethnicity, disability status, and English proficiency, by state: School Year 2015-16")</f>
        <v>Number and percentage of public school preschool students receiving one or more out-of-school suspensions, by race/ethnicity, disability status, and English proficiency, by state: School Year 2015-16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3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3" s="12" customFormat="1" ht="24.95" customHeight="1" x14ac:dyDescent="0.2">
      <c r="A4" s="11"/>
      <c r="B4" s="81" t="s">
        <v>0</v>
      </c>
      <c r="C4" s="83" t="s">
        <v>12</v>
      </c>
      <c r="D4" s="85" t="s">
        <v>10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88" t="s">
        <v>17</v>
      </c>
      <c r="S4" s="89"/>
      <c r="T4" s="88" t="s">
        <v>13</v>
      </c>
      <c r="U4" s="89"/>
      <c r="V4" s="92" t="s">
        <v>16</v>
      </c>
      <c r="W4" s="94" t="s">
        <v>14</v>
      </c>
    </row>
    <row r="5" spans="1:23" s="12" customFormat="1" ht="24.95" customHeight="1" x14ac:dyDescent="0.2">
      <c r="A5" s="11"/>
      <c r="B5" s="82"/>
      <c r="C5" s="84"/>
      <c r="D5" s="96" t="s">
        <v>1</v>
      </c>
      <c r="E5" s="78"/>
      <c r="F5" s="97" t="s">
        <v>2</v>
      </c>
      <c r="G5" s="78"/>
      <c r="H5" s="77" t="s">
        <v>3</v>
      </c>
      <c r="I5" s="78"/>
      <c r="J5" s="77" t="s">
        <v>4</v>
      </c>
      <c r="K5" s="78"/>
      <c r="L5" s="77" t="s">
        <v>5</v>
      </c>
      <c r="M5" s="78"/>
      <c r="N5" s="77" t="s">
        <v>6</v>
      </c>
      <c r="O5" s="78"/>
      <c r="P5" s="77" t="s">
        <v>7</v>
      </c>
      <c r="Q5" s="79"/>
      <c r="R5" s="90"/>
      <c r="S5" s="91"/>
      <c r="T5" s="90"/>
      <c r="U5" s="91"/>
      <c r="V5" s="93"/>
      <c r="W5" s="95"/>
    </row>
    <row r="6" spans="1:23" s="12" customFormat="1" ht="15" customHeight="1" thickBot="1" x14ac:dyDescent="0.25">
      <c r="A6" s="11"/>
      <c r="B6" s="13"/>
      <c r="C6" s="40"/>
      <c r="D6" s="14" t="s">
        <v>8</v>
      </c>
      <c r="E6" s="15" t="s">
        <v>15</v>
      </c>
      <c r="F6" s="16" t="s">
        <v>8</v>
      </c>
      <c r="G6" s="15" t="s">
        <v>15</v>
      </c>
      <c r="H6" s="16" t="s">
        <v>8</v>
      </c>
      <c r="I6" s="15" t="s">
        <v>15</v>
      </c>
      <c r="J6" s="16" t="s">
        <v>8</v>
      </c>
      <c r="K6" s="15" t="s">
        <v>15</v>
      </c>
      <c r="L6" s="16" t="s">
        <v>8</v>
      </c>
      <c r="M6" s="15" t="s">
        <v>15</v>
      </c>
      <c r="N6" s="16" t="s">
        <v>8</v>
      </c>
      <c r="O6" s="15" t="s">
        <v>15</v>
      </c>
      <c r="P6" s="16" t="s">
        <v>8</v>
      </c>
      <c r="Q6" s="17" t="s">
        <v>15</v>
      </c>
      <c r="R6" s="14" t="s">
        <v>8</v>
      </c>
      <c r="S6" s="18" t="s">
        <v>9</v>
      </c>
      <c r="T6" s="16" t="s">
        <v>8</v>
      </c>
      <c r="U6" s="18" t="s">
        <v>9</v>
      </c>
      <c r="V6" s="19"/>
      <c r="W6" s="20"/>
    </row>
    <row r="7" spans="1:23" s="22" customFormat="1" ht="15" customHeight="1" x14ac:dyDescent="0.2">
      <c r="A7" s="21" t="s">
        <v>19</v>
      </c>
      <c r="B7" s="47" t="s">
        <v>11</v>
      </c>
      <c r="C7" s="48">
        <v>4303</v>
      </c>
      <c r="D7" s="49">
        <v>50</v>
      </c>
      <c r="E7" s="50">
        <v>1.1619999999999999</v>
      </c>
      <c r="F7" s="51">
        <v>24</v>
      </c>
      <c r="G7" s="50">
        <v>0.55779999999999996</v>
      </c>
      <c r="H7" s="51">
        <v>859</v>
      </c>
      <c r="I7" s="50">
        <v>19.963000000000001</v>
      </c>
      <c r="J7" s="51">
        <v>1981</v>
      </c>
      <c r="K7" s="50">
        <v>46.037999999999997</v>
      </c>
      <c r="L7" s="51">
        <v>1211</v>
      </c>
      <c r="M7" s="50">
        <v>28.143000000000001</v>
      </c>
      <c r="N7" s="52">
        <v>0</v>
      </c>
      <c r="O7" s="50">
        <v>0</v>
      </c>
      <c r="P7" s="53">
        <v>178</v>
      </c>
      <c r="Q7" s="54">
        <v>4.1369999999999996</v>
      </c>
      <c r="R7" s="55">
        <v>774</v>
      </c>
      <c r="S7" s="54">
        <v>17.986999999999998</v>
      </c>
      <c r="T7" s="55">
        <v>246</v>
      </c>
      <c r="U7" s="56">
        <v>5.7168999999999999</v>
      </c>
      <c r="V7" s="57">
        <v>29898</v>
      </c>
      <c r="W7" s="58">
        <v>100</v>
      </c>
    </row>
    <row r="8" spans="1:23" s="22" customFormat="1" ht="15" customHeight="1" x14ac:dyDescent="0.2">
      <c r="A8" s="21" t="s">
        <v>18</v>
      </c>
      <c r="B8" s="23" t="s">
        <v>23</v>
      </c>
      <c r="C8" s="24">
        <v>40</v>
      </c>
      <c r="D8" s="25">
        <v>1</v>
      </c>
      <c r="E8" s="26">
        <v>2.5</v>
      </c>
      <c r="F8" s="27">
        <v>0</v>
      </c>
      <c r="G8" s="26">
        <v>0</v>
      </c>
      <c r="H8" s="33">
        <v>0</v>
      </c>
      <c r="I8" s="26">
        <v>0</v>
      </c>
      <c r="J8" s="27">
        <v>23</v>
      </c>
      <c r="K8" s="26">
        <v>57.5</v>
      </c>
      <c r="L8" s="27">
        <v>16</v>
      </c>
      <c r="M8" s="26">
        <v>40</v>
      </c>
      <c r="N8" s="27">
        <v>0</v>
      </c>
      <c r="O8" s="26">
        <v>0</v>
      </c>
      <c r="P8" s="35">
        <v>0</v>
      </c>
      <c r="Q8" s="29">
        <v>0</v>
      </c>
      <c r="R8" s="25">
        <v>7</v>
      </c>
      <c r="S8" s="29">
        <v>17.5</v>
      </c>
      <c r="T8" s="34">
        <v>0</v>
      </c>
      <c r="U8" s="30">
        <v>0</v>
      </c>
      <c r="V8" s="31">
        <v>446</v>
      </c>
      <c r="W8" s="32">
        <v>100</v>
      </c>
    </row>
    <row r="9" spans="1:23" s="22" customFormat="1" ht="15" customHeight="1" x14ac:dyDescent="0.2">
      <c r="A9" s="21" t="s">
        <v>18</v>
      </c>
      <c r="B9" s="59" t="s">
        <v>22</v>
      </c>
      <c r="C9" s="48">
        <v>5</v>
      </c>
      <c r="D9" s="49">
        <v>5</v>
      </c>
      <c r="E9" s="50">
        <v>100</v>
      </c>
      <c r="F9" s="51">
        <v>0</v>
      </c>
      <c r="G9" s="50">
        <v>0</v>
      </c>
      <c r="H9" s="51">
        <v>0</v>
      </c>
      <c r="I9" s="50">
        <v>0</v>
      </c>
      <c r="J9" s="52">
        <v>0</v>
      </c>
      <c r="K9" s="50">
        <v>0</v>
      </c>
      <c r="L9" s="52">
        <v>0</v>
      </c>
      <c r="M9" s="50">
        <v>0</v>
      </c>
      <c r="N9" s="51">
        <v>0</v>
      </c>
      <c r="O9" s="50">
        <v>0</v>
      </c>
      <c r="P9" s="60">
        <v>0</v>
      </c>
      <c r="Q9" s="54">
        <v>0</v>
      </c>
      <c r="R9" s="61">
        <v>1</v>
      </c>
      <c r="S9" s="54">
        <v>20</v>
      </c>
      <c r="T9" s="61">
        <v>0</v>
      </c>
      <c r="U9" s="56">
        <v>0</v>
      </c>
      <c r="V9" s="57">
        <v>205</v>
      </c>
      <c r="W9" s="58">
        <v>100</v>
      </c>
    </row>
    <row r="10" spans="1:23" s="22" customFormat="1" ht="15" customHeight="1" x14ac:dyDescent="0.2">
      <c r="A10" s="21" t="s">
        <v>18</v>
      </c>
      <c r="B10" s="23" t="s">
        <v>25</v>
      </c>
      <c r="C10" s="24">
        <v>16</v>
      </c>
      <c r="D10" s="34">
        <v>0</v>
      </c>
      <c r="E10" s="26">
        <v>0</v>
      </c>
      <c r="F10" s="27">
        <v>0</v>
      </c>
      <c r="G10" s="26">
        <v>0</v>
      </c>
      <c r="H10" s="33">
        <v>8</v>
      </c>
      <c r="I10" s="26">
        <v>50</v>
      </c>
      <c r="J10" s="27">
        <v>2</v>
      </c>
      <c r="K10" s="26">
        <v>12.5</v>
      </c>
      <c r="L10" s="33">
        <v>6</v>
      </c>
      <c r="M10" s="26">
        <v>37.5</v>
      </c>
      <c r="N10" s="33">
        <v>0</v>
      </c>
      <c r="O10" s="26">
        <v>0</v>
      </c>
      <c r="P10" s="28">
        <v>0</v>
      </c>
      <c r="Q10" s="29">
        <v>0</v>
      </c>
      <c r="R10" s="34">
        <v>5</v>
      </c>
      <c r="S10" s="29">
        <v>31.25</v>
      </c>
      <c r="T10" s="34">
        <v>0</v>
      </c>
      <c r="U10" s="30">
        <v>0</v>
      </c>
      <c r="V10" s="31">
        <v>459</v>
      </c>
      <c r="W10" s="32">
        <v>100</v>
      </c>
    </row>
    <row r="11" spans="1:23" s="22" customFormat="1" ht="15" customHeight="1" x14ac:dyDescent="0.2">
      <c r="A11" s="21" t="s">
        <v>18</v>
      </c>
      <c r="B11" s="59" t="s">
        <v>24</v>
      </c>
      <c r="C11" s="48">
        <v>132</v>
      </c>
      <c r="D11" s="49">
        <v>0</v>
      </c>
      <c r="E11" s="50">
        <v>0</v>
      </c>
      <c r="F11" s="52">
        <v>1</v>
      </c>
      <c r="G11" s="50">
        <v>0.75760000000000005</v>
      </c>
      <c r="H11" s="51">
        <v>12</v>
      </c>
      <c r="I11" s="50">
        <v>9.0909999999999993</v>
      </c>
      <c r="J11" s="51">
        <v>113</v>
      </c>
      <c r="K11" s="50">
        <v>85.605999999999995</v>
      </c>
      <c r="L11" s="51">
        <v>4</v>
      </c>
      <c r="M11" s="50">
        <v>3.03</v>
      </c>
      <c r="N11" s="51">
        <v>0</v>
      </c>
      <c r="O11" s="50">
        <v>0</v>
      </c>
      <c r="P11" s="60">
        <v>2</v>
      </c>
      <c r="Q11" s="54">
        <v>1.5149999999999999</v>
      </c>
      <c r="R11" s="61">
        <v>0</v>
      </c>
      <c r="S11" s="54">
        <v>0</v>
      </c>
      <c r="T11" s="49">
        <v>0</v>
      </c>
      <c r="U11" s="56">
        <v>0</v>
      </c>
      <c r="V11" s="57">
        <v>289</v>
      </c>
      <c r="W11" s="58">
        <v>100</v>
      </c>
    </row>
    <row r="12" spans="1:23" s="22" customFormat="1" ht="15" customHeight="1" x14ac:dyDescent="0.2">
      <c r="A12" s="21" t="s">
        <v>18</v>
      </c>
      <c r="B12" s="23" t="s">
        <v>26</v>
      </c>
      <c r="C12" s="24">
        <v>13</v>
      </c>
      <c r="D12" s="25">
        <v>0</v>
      </c>
      <c r="E12" s="26">
        <v>0</v>
      </c>
      <c r="F12" s="33">
        <v>0</v>
      </c>
      <c r="G12" s="26">
        <v>0</v>
      </c>
      <c r="H12" s="27">
        <v>10</v>
      </c>
      <c r="I12" s="26">
        <v>76.923000000000002</v>
      </c>
      <c r="J12" s="27">
        <v>2</v>
      </c>
      <c r="K12" s="26">
        <v>15.385</v>
      </c>
      <c r="L12" s="27">
        <v>0</v>
      </c>
      <c r="M12" s="26">
        <v>0</v>
      </c>
      <c r="N12" s="33">
        <v>0</v>
      </c>
      <c r="O12" s="26">
        <v>0</v>
      </c>
      <c r="P12" s="35">
        <v>1</v>
      </c>
      <c r="Q12" s="29">
        <v>7.6920000000000002</v>
      </c>
      <c r="R12" s="34">
        <v>8</v>
      </c>
      <c r="S12" s="29">
        <v>61.537999999999997</v>
      </c>
      <c r="T12" s="25">
        <v>3</v>
      </c>
      <c r="U12" s="30">
        <v>23.076899999999998</v>
      </c>
      <c r="V12" s="31">
        <v>1867</v>
      </c>
      <c r="W12" s="32">
        <v>100</v>
      </c>
    </row>
    <row r="13" spans="1:23" s="22" customFormat="1" ht="15" customHeight="1" x14ac:dyDescent="0.2">
      <c r="A13" s="21" t="s">
        <v>18</v>
      </c>
      <c r="B13" s="59" t="s">
        <v>27</v>
      </c>
      <c r="C13" s="48">
        <v>19</v>
      </c>
      <c r="D13" s="49">
        <v>0</v>
      </c>
      <c r="E13" s="50">
        <v>0</v>
      </c>
      <c r="F13" s="52">
        <v>0</v>
      </c>
      <c r="G13" s="50">
        <v>0</v>
      </c>
      <c r="H13" s="51">
        <v>7</v>
      </c>
      <c r="I13" s="50">
        <v>36.841999999999999</v>
      </c>
      <c r="J13" s="52">
        <v>3</v>
      </c>
      <c r="K13" s="50">
        <v>15.789</v>
      </c>
      <c r="L13" s="51">
        <v>9</v>
      </c>
      <c r="M13" s="50">
        <v>47.368000000000002</v>
      </c>
      <c r="N13" s="51">
        <v>0</v>
      </c>
      <c r="O13" s="50">
        <v>0</v>
      </c>
      <c r="P13" s="53">
        <v>0</v>
      </c>
      <c r="Q13" s="54">
        <v>0</v>
      </c>
      <c r="R13" s="49">
        <v>0</v>
      </c>
      <c r="S13" s="54">
        <v>0</v>
      </c>
      <c r="T13" s="61">
        <v>0</v>
      </c>
      <c r="U13" s="56">
        <v>0</v>
      </c>
      <c r="V13" s="57">
        <v>627</v>
      </c>
      <c r="W13" s="58">
        <v>100</v>
      </c>
    </row>
    <row r="14" spans="1:23" s="22" customFormat="1" ht="15" customHeight="1" x14ac:dyDescent="0.2">
      <c r="A14" s="21" t="s">
        <v>18</v>
      </c>
      <c r="B14" s="23" t="s">
        <v>28</v>
      </c>
      <c r="C14" s="36">
        <v>10</v>
      </c>
      <c r="D14" s="25">
        <v>0</v>
      </c>
      <c r="E14" s="26">
        <v>0</v>
      </c>
      <c r="F14" s="27">
        <v>0</v>
      </c>
      <c r="G14" s="26">
        <v>0</v>
      </c>
      <c r="H14" s="33">
        <v>1</v>
      </c>
      <c r="I14" s="26">
        <v>10</v>
      </c>
      <c r="J14" s="33">
        <v>7</v>
      </c>
      <c r="K14" s="26">
        <v>70</v>
      </c>
      <c r="L14" s="33">
        <v>1</v>
      </c>
      <c r="M14" s="26">
        <v>10</v>
      </c>
      <c r="N14" s="27">
        <v>0</v>
      </c>
      <c r="O14" s="26">
        <v>0</v>
      </c>
      <c r="P14" s="28">
        <v>1</v>
      </c>
      <c r="Q14" s="29">
        <v>10</v>
      </c>
      <c r="R14" s="34">
        <v>6</v>
      </c>
      <c r="S14" s="29">
        <v>60</v>
      </c>
      <c r="T14" s="25">
        <v>0</v>
      </c>
      <c r="U14" s="30">
        <v>0</v>
      </c>
      <c r="V14" s="31">
        <v>381</v>
      </c>
      <c r="W14" s="32">
        <v>100</v>
      </c>
    </row>
    <row r="15" spans="1:23" s="22" customFormat="1" ht="15" customHeight="1" x14ac:dyDescent="0.2">
      <c r="A15" s="21" t="s">
        <v>18</v>
      </c>
      <c r="B15" s="59" t="s">
        <v>30</v>
      </c>
      <c r="C15" s="62">
        <v>3</v>
      </c>
      <c r="D15" s="49">
        <v>0</v>
      </c>
      <c r="E15" s="50">
        <v>0</v>
      </c>
      <c r="F15" s="51">
        <v>0</v>
      </c>
      <c r="G15" s="50">
        <v>0</v>
      </c>
      <c r="H15" s="51">
        <v>0</v>
      </c>
      <c r="I15" s="50">
        <v>0</v>
      </c>
      <c r="J15" s="52">
        <v>2</v>
      </c>
      <c r="K15" s="50">
        <v>66.667000000000002</v>
      </c>
      <c r="L15" s="51">
        <v>1</v>
      </c>
      <c r="M15" s="50">
        <v>33.332999999999998</v>
      </c>
      <c r="N15" s="52">
        <v>0</v>
      </c>
      <c r="O15" s="50">
        <v>0</v>
      </c>
      <c r="P15" s="53">
        <v>0</v>
      </c>
      <c r="Q15" s="54">
        <v>0</v>
      </c>
      <c r="R15" s="61">
        <v>3</v>
      </c>
      <c r="S15" s="54">
        <v>100</v>
      </c>
      <c r="T15" s="49">
        <v>0</v>
      </c>
      <c r="U15" s="56">
        <v>0</v>
      </c>
      <c r="V15" s="57">
        <v>44</v>
      </c>
      <c r="W15" s="58">
        <v>100</v>
      </c>
    </row>
    <row r="16" spans="1:23" s="22" customFormat="1" ht="15" customHeight="1" x14ac:dyDescent="0.2">
      <c r="A16" s="21" t="s">
        <v>18</v>
      </c>
      <c r="B16" s="23" t="s">
        <v>29</v>
      </c>
      <c r="C16" s="36">
        <v>14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14</v>
      </c>
      <c r="K16" s="26">
        <v>100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4</v>
      </c>
      <c r="S16" s="29">
        <v>28.571000000000002</v>
      </c>
      <c r="T16" s="25">
        <v>0</v>
      </c>
      <c r="U16" s="30">
        <v>0</v>
      </c>
      <c r="V16" s="31">
        <v>134</v>
      </c>
      <c r="W16" s="32">
        <v>100</v>
      </c>
    </row>
    <row r="17" spans="1:23" s="22" customFormat="1" ht="15" customHeight="1" x14ac:dyDescent="0.2">
      <c r="A17" s="21" t="s">
        <v>18</v>
      </c>
      <c r="B17" s="59" t="s">
        <v>31</v>
      </c>
      <c r="C17" s="48">
        <v>285</v>
      </c>
      <c r="D17" s="49">
        <v>0</v>
      </c>
      <c r="E17" s="50">
        <v>0</v>
      </c>
      <c r="F17" s="52">
        <v>1</v>
      </c>
      <c r="G17" s="50">
        <v>0.35089999999999999</v>
      </c>
      <c r="H17" s="51">
        <v>42</v>
      </c>
      <c r="I17" s="50">
        <v>14.737</v>
      </c>
      <c r="J17" s="52">
        <v>123</v>
      </c>
      <c r="K17" s="50">
        <v>43.158000000000001</v>
      </c>
      <c r="L17" s="52">
        <v>104</v>
      </c>
      <c r="M17" s="50">
        <v>36.491</v>
      </c>
      <c r="N17" s="52">
        <v>0</v>
      </c>
      <c r="O17" s="50">
        <v>0</v>
      </c>
      <c r="P17" s="60">
        <v>15</v>
      </c>
      <c r="Q17" s="54">
        <v>5.2629999999999999</v>
      </c>
      <c r="R17" s="49">
        <v>186</v>
      </c>
      <c r="S17" s="54">
        <v>65.263000000000005</v>
      </c>
      <c r="T17" s="49">
        <v>14</v>
      </c>
      <c r="U17" s="56">
        <v>4.9123000000000001</v>
      </c>
      <c r="V17" s="57">
        <v>1786</v>
      </c>
      <c r="W17" s="58">
        <v>100</v>
      </c>
    </row>
    <row r="18" spans="1:23" s="22" customFormat="1" ht="15" customHeight="1" x14ac:dyDescent="0.2">
      <c r="A18" s="21" t="s">
        <v>18</v>
      </c>
      <c r="B18" s="23" t="s">
        <v>32</v>
      </c>
      <c r="C18" s="24">
        <v>160</v>
      </c>
      <c r="D18" s="34">
        <v>0</v>
      </c>
      <c r="E18" s="26">
        <v>0</v>
      </c>
      <c r="F18" s="27">
        <v>0</v>
      </c>
      <c r="G18" s="26">
        <v>0</v>
      </c>
      <c r="H18" s="27">
        <v>11</v>
      </c>
      <c r="I18" s="26">
        <v>6.875</v>
      </c>
      <c r="J18" s="27">
        <v>94</v>
      </c>
      <c r="K18" s="26">
        <v>58.75</v>
      </c>
      <c r="L18" s="27">
        <v>45</v>
      </c>
      <c r="M18" s="26">
        <v>28.125</v>
      </c>
      <c r="N18" s="27">
        <v>0</v>
      </c>
      <c r="O18" s="26">
        <v>0</v>
      </c>
      <c r="P18" s="28">
        <v>10</v>
      </c>
      <c r="Q18" s="29">
        <v>6.25</v>
      </c>
      <c r="R18" s="34">
        <v>26</v>
      </c>
      <c r="S18" s="29">
        <v>16.25</v>
      </c>
      <c r="T18" s="25">
        <v>0</v>
      </c>
      <c r="U18" s="30">
        <v>0</v>
      </c>
      <c r="V18" s="31">
        <v>1117</v>
      </c>
      <c r="W18" s="32">
        <v>100</v>
      </c>
    </row>
    <row r="19" spans="1:23" s="22" customFormat="1" ht="15" customHeight="1" x14ac:dyDescent="0.2">
      <c r="A19" s="21" t="s">
        <v>20</v>
      </c>
      <c r="B19" s="59" t="s">
        <v>21</v>
      </c>
      <c r="C19" s="48">
        <v>1</v>
      </c>
      <c r="D19" s="49">
        <v>0</v>
      </c>
      <c r="E19" s="50">
        <v>0</v>
      </c>
      <c r="F19" s="51">
        <v>0</v>
      </c>
      <c r="G19" s="50">
        <v>0</v>
      </c>
      <c r="H19" s="51">
        <v>1</v>
      </c>
      <c r="I19" s="50">
        <v>100</v>
      </c>
      <c r="J19" s="51">
        <v>0</v>
      </c>
      <c r="K19" s="50">
        <v>0</v>
      </c>
      <c r="L19" s="51">
        <v>0</v>
      </c>
      <c r="M19" s="50">
        <v>0</v>
      </c>
      <c r="N19" s="51">
        <v>0</v>
      </c>
      <c r="O19" s="50">
        <v>0</v>
      </c>
      <c r="P19" s="53">
        <v>0</v>
      </c>
      <c r="Q19" s="54">
        <v>0</v>
      </c>
      <c r="R19" s="49">
        <v>1</v>
      </c>
      <c r="S19" s="54">
        <v>100</v>
      </c>
      <c r="T19" s="49">
        <v>0</v>
      </c>
      <c r="U19" s="56">
        <v>0</v>
      </c>
      <c r="V19" s="75">
        <v>173</v>
      </c>
      <c r="W19" s="76">
        <v>100</v>
      </c>
    </row>
    <row r="20" spans="1:23" s="22" customFormat="1" ht="15" customHeight="1" x14ac:dyDescent="0.2">
      <c r="A20" s="21" t="s">
        <v>18</v>
      </c>
      <c r="B20" s="23" t="s">
        <v>34</v>
      </c>
      <c r="C20" s="36">
        <v>1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1</v>
      </c>
      <c r="M20" s="26">
        <v>100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139</v>
      </c>
      <c r="W20" s="32">
        <v>100</v>
      </c>
    </row>
    <row r="21" spans="1:23" s="22" customFormat="1" ht="15" customHeight="1" x14ac:dyDescent="0.2">
      <c r="A21" s="21" t="s">
        <v>18</v>
      </c>
      <c r="B21" s="59" t="s">
        <v>35</v>
      </c>
      <c r="C21" s="48">
        <v>110</v>
      </c>
      <c r="D21" s="61">
        <v>0</v>
      </c>
      <c r="E21" s="50">
        <v>0</v>
      </c>
      <c r="F21" s="51">
        <v>0</v>
      </c>
      <c r="G21" s="50">
        <v>0</v>
      </c>
      <c r="H21" s="52">
        <v>6</v>
      </c>
      <c r="I21" s="50">
        <v>5.4550000000000001</v>
      </c>
      <c r="J21" s="51">
        <v>67</v>
      </c>
      <c r="K21" s="50">
        <v>60.908999999999999</v>
      </c>
      <c r="L21" s="51">
        <v>36</v>
      </c>
      <c r="M21" s="50">
        <v>32.726999999999997</v>
      </c>
      <c r="N21" s="51">
        <v>0</v>
      </c>
      <c r="O21" s="50">
        <v>0</v>
      </c>
      <c r="P21" s="60">
        <v>1</v>
      </c>
      <c r="Q21" s="54">
        <v>0.90900000000000003</v>
      </c>
      <c r="R21" s="49">
        <v>10</v>
      </c>
      <c r="S21" s="54">
        <v>9.0909999999999993</v>
      </c>
      <c r="T21" s="61">
        <v>1</v>
      </c>
      <c r="U21" s="56">
        <v>0.90910000000000002</v>
      </c>
      <c r="V21" s="57">
        <v>1301</v>
      </c>
      <c r="W21" s="58">
        <v>100</v>
      </c>
    </row>
    <row r="22" spans="1:23" s="22" customFormat="1" ht="15" customHeight="1" x14ac:dyDescent="0.2">
      <c r="A22" s="21" t="s">
        <v>18</v>
      </c>
      <c r="B22" s="23" t="s">
        <v>36</v>
      </c>
      <c r="C22" s="24">
        <v>58</v>
      </c>
      <c r="D22" s="25">
        <v>0</v>
      </c>
      <c r="E22" s="26">
        <v>0</v>
      </c>
      <c r="F22" s="33">
        <v>1</v>
      </c>
      <c r="G22" s="26">
        <v>1.7241</v>
      </c>
      <c r="H22" s="33">
        <v>6</v>
      </c>
      <c r="I22" s="26">
        <v>10.345000000000001</v>
      </c>
      <c r="J22" s="27">
        <v>12</v>
      </c>
      <c r="K22" s="26">
        <v>20.69</v>
      </c>
      <c r="L22" s="27">
        <v>29</v>
      </c>
      <c r="M22" s="26">
        <v>50</v>
      </c>
      <c r="N22" s="27">
        <v>0</v>
      </c>
      <c r="O22" s="26">
        <v>0</v>
      </c>
      <c r="P22" s="35">
        <v>10</v>
      </c>
      <c r="Q22" s="29">
        <v>17.241</v>
      </c>
      <c r="R22" s="34">
        <v>18</v>
      </c>
      <c r="S22" s="29">
        <v>31.033999999999999</v>
      </c>
      <c r="T22" s="34">
        <v>0</v>
      </c>
      <c r="U22" s="30">
        <v>0</v>
      </c>
      <c r="V22" s="31">
        <v>440</v>
      </c>
      <c r="W22" s="32">
        <v>100</v>
      </c>
    </row>
    <row r="23" spans="1:23" s="22" customFormat="1" ht="15" customHeight="1" x14ac:dyDescent="0.2">
      <c r="A23" s="21" t="s">
        <v>18</v>
      </c>
      <c r="B23" s="59" t="s">
        <v>33</v>
      </c>
      <c r="C23" s="48">
        <v>19</v>
      </c>
      <c r="D23" s="49">
        <v>0</v>
      </c>
      <c r="E23" s="50">
        <v>0</v>
      </c>
      <c r="F23" s="51">
        <v>0</v>
      </c>
      <c r="G23" s="50">
        <v>0</v>
      </c>
      <c r="H23" s="51">
        <v>0</v>
      </c>
      <c r="I23" s="50">
        <v>0</v>
      </c>
      <c r="J23" s="51">
        <v>4</v>
      </c>
      <c r="K23" s="50">
        <v>21.053000000000001</v>
      </c>
      <c r="L23" s="51">
        <v>14</v>
      </c>
      <c r="M23" s="50">
        <v>73.683999999999997</v>
      </c>
      <c r="N23" s="51">
        <v>0</v>
      </c>
      <c r="O23" s="50">
        <v>0</v>
      </c>
      <c r="P23" s="60">
        <v>1</v>
      </c>
      <c r="Q23" s="54">
        <v>5.2629999999999999</v>
      </c>
      <c r="R23" s="61">
        <v>4</v>
      </c>
      <c r="S23" s="54">
        <v>21.053000000000001</v>
      </c>
      <c r="T23" s="49">
        <v>0</v>
      </c>
      <c r="U23" s="56">
        <v>0</v>
      </c>
      <c r="V23" s="57">
        <v>485</v>
      </c>
      <c r="W23" s="58">
        <v>100</v>
      </c>
    </row>
    <row r="24" spans="1:23" s="22" customFormat="1" ht="15" customHeight="1" x14ac:dyDescent="0.2">
      <c r="A24" s="21" t="s">
        <v>18</v>
      </c>
      <c r="B24" s="23" t="s">
        <v>37</v>
      </c>
      <c r="C24" s="24">
        <v>21</v>
      </c>
      <c r="D24" s="34">
        <v>0</v>
      </c>
      <c r="E24" s="26">
        <v>0</v>
      </c>
      <c r="F24" s="27">
        <v>0</v>
      </c>
      <c r="G24" s="26">
        <v>0</v>
      </c>
      <c r="H24" s="33">
        <v>2</v>
      </c>
      <c r="I24" s="26">
        <v>9.5239999999999991</v>
      </c>
      <c r="J24" s="27">
        <v>3</v>
      </c>
      <c r="K24" s="26">
        <v>14.286</v>
      </c>
      <c r="L24" s="27">
        <v>15</v>
      </c>
      <c r="M24" s="26">
        <v>71.429000000000002</v>
      </c>
      <c r="N24" s="27">
        <v>0</v>
      </c>
      <c r="O24" s="26">
        <v>0</v>
      </c>
      <c r="P24" s="35">
        <v>1</v>
      </c>
      <c r="Q24" s="29">
        <v>4.7619999999999996</v>
      </c>
      <c r="R24" s="34">
        <v>7</v>
      </c>
      <c r="S24" s="29">
        <v>33.332999999999998</v>
      </c>
      <c r="T24" s="25">
        <v>1</v>
      </c>
      <c r="U24" s="30">
        <v>4.7618999999999998</v>
      </c>
      <c r="V24" s="31">
        <v>473</v>
      </c>
      <c r="W24" s="32">
        <v>100</v>
      </c>
    </row>
    <row r="25" spans="1:23" s="22" customFormat="1" ht="15" customHeight="1" x14ac:dyDescent="0.2">
      <c r="A25" s="21" t="s">
        <v>18</v>
      </c>
      <c r="B25" s="59" t="s">
        <v>38</v>
      </c>
      <c r="C25" s="62">
        <v>0</v>
      </c>
      <c r="D25" s="49">
        <v>0</v>
      </c>
      <c r="E25" s="50">
        <v>0</v>
      </c>
      <c r="F25" s="51">
        <v>0</v>
      </c>
      <c r="G25" s="50">
        <v>0</v>
      </c>
      <c r="H25" s="51">
        <v>0</v>
      </c>
      <c r="I25" s="50">
        <v>0</v>
      </c>
      <c r="J25" s="51">
        <v>0</v>
      </c>
      <c r="K25" s="50">
        <v>0</v>
      </c>
      <c r="L25" s="52">
        <v>0</v>
      </c>
      <c r="M25" s="50">
        <v>0</v>
      </c>
      <c r="N25" s="51">
        <v>0</v>
      </c>
      <c r="O25" s="50">
        <v>0</v>
      </c>
      <c r="P25" s="60">
        <v>0</v>
      </c>
      <c r="Q25" s="54">
        <v>0</v>
      </c>
      <c r="R25" s="49">
        <v>0</v>
      </c>
      <c r="S25" s="54">
        <v>0</v>
      </c>
      <c r="T25" s="49">
        <v>0</v>
      </c>
      <c r="U25" s="56">
        <v>0</v>
      </c>
      <c r="V25" s="57">
        <v>541</v>
      </c>
      <c r="W25" s="58">
        <v>100</v>
      </c>
    </row>
    <row r="26" spans="1:23" s="22" customFormat="1" ht="15" customHeight="1" x14ac:dyDescent="0.2">
      <c r="A26" s="21" t="s">
        <v>18</v>
      </c>
      <c r="B26" s="23" t="s">
        <v>39</v>
      </c>
      <c r="C26" s="24">
        <v>227</v>
      </c>
      <c r="D26" s="25">
        <v>0</v>
      </c>
      <c r="E26" s="26">
        <v>0</v>
      </c>
      <c r="F26" s="33">
        <v>2</v>
      </c>
      <c r="G26" s="26">
        <v>0.88109999999999999</v>
      </c>
      <c r="H26" s="33">
        <v>12</v>
      </c>
      <c r="I26" s="26">
        <v>5.2859999999999996</v>
      </c>
      <c r="J26" s="27">
        <v>133</v>
      </c>
      <c r="K26" s="26">
        <v>58.59</v>
      </c>
      <c r="L26" s="27">
        <v>72</v>
      </c>
      <c r="M26" s="26">
        <v>31.718</v>
      </c>
      <c r="N26" s="33">
        <v>0</v>
      </c>
      <c r="O26" s="26">
        <v>0</v>
      </c>
      <c r="P26" s="35">
        <v>8</v>
      </c>
      <c r="Q26" s="29">
        <v>3.524</v>
      </c>
      <c r="R26" s="25">
        <v>42</v>
      </c>
      <c r="S26" s="29">
        <v>18.501999999999999</v>
      </c>
      <c r="T26" s="25">
        <v>4</v>
      </c>
      <c r="U26" s="30">
        <v>1.7621</v>
      </c>
      <c r="V26" s="31">
        <v>681</v>
      </c>
      <c r="W26" s="32">
        <v>100</v>
      </c>
    </row>
    <row r="27" spans="1:23" s="22" customFormat="1" ht="15" customHeight="1" x14ac:dyDescent="0.2">
      <c r="A27" s="21" t="s">
        <v>18</v>
      </c>
      <c r="B27" s="59" t="s">
        <v>42</v>
      </c>
      <c r="C27" s="62">
        <v>2</v>
      </c>
      <c r="D27" s="61">
        <v>0</v>
      </c>
      <c r="E27" s="50">
        <v>0</v>
      </c>
      <c r="F27" s="51">
        <v>0</v>
      </c>
      <c r="G27" s="50">
        <v>0</v>
      </c>
      <c r="H27" s="51">
        <v>0</v>
      </c>
      <c r="I27" s="50">
        <v>0</v>
      </c>
      <c r="J27" s="51">
        <v>0</v>
      </c>
      <c r="K27" s="50">
        <v>0</v>
      </c>
      <c r="L27" s="52">
        <v>1</v>
      </c>
      <c r="M27" s="50">
        <v>50</v>
      </c>
      <c r="N27" s="51">
        <v>0</v>
      </c>
      <c r="O27" s="50">
        <v>0</v>
      </c>
      <c r="P27" s="60">
        <v>1</v>
      </c>
      <c r="Q27" s="54">
        <v>50</v>
      </c>
      <c r="R27" s="61">
        <v>0</v>
      </c>
      <c r="S27" s="54">
        <v>0</v>
      </c>
      <c r="T27" s="49">
        <v>0</v>
      </c>
      <c r="U27" s="56">
        <v>0</v>
      </c>
      <c r="V27" s="57">
        <v>211</v>
      </c>
      <c r="W27" s="58">
        <v>100</v>
      </c>
    </row>
    <row r="28" spans="1:23" s="22" customFormat="1" ht="15" customHeight="1" x14ac:dyDescent="0.2">
      <c r="A28" s="21" t="s">
        <v>18</v>
      </c>
      <c r="B28" s="23" t="s">
        <v>41</v>
      </c>
      <c r="C28" s="36">
        <v>81</v>
      </c>
      <c r="D28" s="34">
        <v>0</v>
      </c>
      <c r="E28" s="26">
        <v>0</v>
      </c>
      <c r="F28" s="27">
        <v>0</v>
      </c>
      <c r="G28" s="26">
        <v>0</v>
      </c>
      <c r="H28" s="27">
        <v>4</v>
      </c>
      <c r="I28" s="26">
        <v>4.9379999999999997</v>
      </c>
      <c r="J28" s="27">
        <v>50</v>
      </c>
      <c r="K28" s="26">
        <v>61.728000000000002</v>
      </c>
      <c r="L28" s="33">
        <v>20</v>
      </c>
      <c r="M28" s="26">
        <v>24.690999999999999</v>
      </c>
      <c r="N28" s="27">
        <v>0</v>
      </c>
      <c r="O28" s="26">
        <v>0</v>
      </c>
      <c r="P28" s="28">
        <v>7</v>
      </c>
      <c r="Q28" s="29">
        <v>8.6419999999999995</v>
      </c>
      <c r="R28" s="25">
        <v>12</v>
      </c>
      <c r="S28" s="29">
        <v>14.815</v>
      </c>
      <c r="T28" s="34">
        <v>1</v>
      </c>
      <c r="U28" s="30">
        <v>1.2345999999999999</v>
      </c>
      <c r="V28" s="31">
        <v>702</v>
      </c>
      <c r="W28" s="32">
        <v>100</v>
      </c>
    </row>
    <row r="29" spans="1:23" s="22" customFormat="1" ht="15" customHeight="1" x14ac:dyDescent="0.2">
      <c r="A29" s="21" t="s">
        <v>18</v>
      </c>
      <c r="B29" s="59" t="s">
        <v>40</v>
      </c>
      <c r="C29" s="48">
        <v>10</v>
      </c>
      <c r="D29" s="49">
        <v>0</v>
      </c>
      <c r="E29" s="50">
        <v>0</v>
      </c>
      <c r="F29" s="51">
        <v>0</v>
      </c>
      <c r="G29" s="50">
        <v>0</v>
      </c>
      <c r="H29" s="52">
        <v>6</v>
      </c>
      <c r="I29" s="50">
        <v>60</v>
      </c>
      <c r="J29" s="51">
        <v>3</v>
      </c>
      <c r="K29" s="50">
        <v>30</v>
      </c>
      <c r="L29" s="52">
        <v>1</v>
      </c>
      <c r="M29" s="50">
        <v>10</v>
      </c>
      <c r="N29" s="51">
        <v>0</v>
      </c>
      <c r="O29" s="50">
        <v>0</v>
      </c>
      <c r="P29" s="60">
        <v>0</v>
      </c>
      <c r="Q29" s="54">
        <v>0</v>
      </c>
      <c r="R29" s="49">
        <v>3</v>
      </c>
      <c r="S29" s="54">
        <v>30</v>
      </c>
      <c r="T29" s="49">
        <v>4</v>
      </c>
      <c r="U29" s="56">
        <v>40</v>
      </c>
      <c r="V29" s="57">
        <v>525</v>
      </c>
      <c r="W29" s="58">
        <v>100</v>
      </c>
    </row>
    <row r="30" spans="1:23" s="22" customFormat="1" ht="15" customHeight="1" x14ac:dyDescent="0.2">
      <c r="A30" s="21" t="s">
        <v>18</v>
      </c>
      <c r="B30" s="23" t="s">
        <v>43</v>
      </c>
      <c r="C30" s="24">
        <v>41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24</v>
      </c>
      <c r="K30" s="26">
        <v>58.536999999999999</v>
      </c>
      <c r="L30" s="27">
        <v>15</v>
      </c>
      <c r="M30" s="26">
        <v>36.585000000000001</v>
      </c>
      <c r="N30" s="27">
        <v>0</v>
      </c>
      <c r="O30" s="26">
        <v>0</v>
      </c>
      <c r="P30" s="28">
        <v>2</v>
      </c>
      <c r="Q30" s="29">
        <v>4.8780000000000001</v>
      </c>
      <c r="R30" s="25">
        <v>8</v>
      </c>
      <c r="S30" s="29">
        <v>19.512</v>
      </c>
      <c r="T30" s="34">
        <v>0</v>
      </c>
      <c r="U30" s="30">
        <v>0</v>
      </c>
      <c r="V30" s="31">
        <v>733</v>
      </c>
      <c r="W30" s="32">
        <v>100</v>
      </c>
    </row>
    <row r="31" spans="1:23" s="22" customFormat="1" ht="15" customHeight="1" x14ac:dyDescent="0.2">
      <c r="A31" s="21" t="s">
        <v>18</v>
      </c>
      <c r="B31" s="59" t="s">
        <v>44</v>
      </c>
      <c r="C31" s="62">
        <v>1</v>
      </c>
      <c r="D31" s="49">
        <v>0</v>
      </c>
      <c r="E31" s="50">
        <v>0</v>
      </c>
      <c r="F31" s="52">
        <v>0</v>
      </c>
      <c r="G31" s="50">
        <v>0</v>
      </c>
      <c r="H31" s="51">
        <v>0</v>
      </c>
      <c r="I31" s="50">
        <v>0</v>
      </c>
      <c r="J31" s="52">
        <v>1</v>
      </c>
      <c r="K31" s="50">
        <v>100</v>
      </c>
      <c r="L31" s="51">
        <v>0</v>
      </c>
      <c r="M31" s="50">
        <v>0</v>
      </c>
      <c r="N31" s="51">
        <v>0</v>
      </c>
      <c r="O31" s="50">
        <v>0</v>
      </c>
      <c r="P31" s="53">
        <v>0</v>
      </c>
      <c r="Q31" s="54">
        <v>0</v>
      </c>
      <c r="R31" s="49">
        <v>0</v>
      </c>
      <c r="S31" s="54">
        <v>0</v>
      </c>
      <c r="T31" s="61">
        <v>0</v>
      </c>
      <c r="U31" s="56">
        <v>0</v>
      </c>
      <c r="V31" s="57">
        <v>504</v>
      </c>
      <c r="W31" s="58">
        <v>100</v>
      </c>
    </row>
    <row r="32" spans="1:23" s="22" customFormat="1" ht="15" customHeight="1" x14ac:dyDescent="0.2">
      <c r="A32" s="21" t="s">
        <v>18</v>
      </c>
      <c r="B32" s="23" t="s">
        <v>46</v>
      </c>
      <c r="C32" s="24">
        <v>53</v>
      </c>
      <c r="D32" s="25">
        <v>0</v>
      </c>
      <c r="E32" s="26">
        <v>0</v>
      </c>
      <c r="F32" s="27">
        <v>0</v>
      </c>
      <c r="G32" s="26">
        <v>0</v>
      </c>
      <c r="H32" s="27">
        <v>4</v>
      </c>
      <c r="I32" s="26">
        <v>7.5469999999999997</v>
      </c>
      <c r="J32" s="27">
        <v>42</v>
      </c>
      <c r="K32" s="26">
        <v>79.245000000000005</v>
      </c>
      <c r="L32" s="33">
        <v>7</v>
      </c>
      <c r="M32" s="26">
        <v>13.208</v>
      </c>
      <c r="N32" s="33">
        <v>0</v>
      </c>
      <c r="O32" s="26">
        <v>0</v>
      </c>
      <c r="P32" s="35">
        <v>0</v>
      </c>
      <c r="Q32" s="29">
        <v>0</v>
      </c>
      <c r="R32" s="34">
        <v>6</v>
      </c>
      <c r="S32" s="29">
        <v>11.321</v>
      </c>
      <c r="T32" s="25">
        <v>2</v>
      </c>
      <c r="U32" s="30">
        <v>3.7736000000000001</v>
      </c>
      <c r="V32" s="31">
        <v>208</v>
      </c>
      <c r="W32" s="32">
        <v>100</v>
      </c>
    </row>
    <row r="33" spans="1:23" s="22" customFormat="1" ht="15" customHeight="1" x14ac:dyDescent="0.2">
      <c r="A33" s="21" t="s">
        <v>18</v>
      </c>
      <c r="B33" s="59" t="s">
        <v>45</v>
      </c>
      <c r="C33" s="48">
        <v>121</v>
      </c>
      <c r="D33" s="61">
        <v>0</v>
      </c>
      <c r="E33" s="50">
        <v>0</v>
      </c>
      <c r="F33" s="51">
        <v>0</v>
      </c>
      <c r="G33" s="50">
        <v>0</v>
      </c>
      <c r="H33" s="52">
        <v>5</v>
      </c>
      <c r="I33" s="50">
        <v>4.1319999999999997</v>
      </c>
      <c r="J33" s="51">
        <v>63</v>
      </c>
      <c r="K33" s="50">
        <v>52.066000000000003</v>
      </c>
      <c r="L33" s="51">
        <v>42</v>
      </c>
      <c r="M33" s="50">
        <v>34.710999999999999</v>
      </c>
      <c r="N33" s="52">
        <v>0</v>
      </c>
      <c r="O33" s="50">
        <v>0</v>
      </c>
      <c r="P33" s="60">
        <v>11</v>
      </c>
      <c r="Q33" s="54">
        <v>9.0909999999999993</v>
      </c>
      <c r="R33" s="61">
        <v>24</v>
      </c>
      <c r="S33" s="54">
        <v>19.835000000000001</v>
      </c>
      <c r="T33" s="61">
        <v>0</v>
      </c>
      <c r="U33" s="56">
        <v>0</v>
      </c>
      <c r="V33" s="57">
        <v>646</v>
      </c>
      <c r="W33" s="58">
        <v>100</v>
      </c>
    </row>
    <row r="34" spans="1:23" s="22" customFormat="1" ht="15" customHeight="1" x14ac:dyDescent="0.2">
      <c r="A34" s="21" t="s">
        <v>18</v>
      </c>
      <c r="B34" s="23" t="s">
        <v>47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100</v>
      </c>
      <c r="W34" s="32">
        <v>100</v>
      </c>
    </row>
    <row r="35" spans="1:23" s="22" customFormat="1" ht="15" customHeight="1" x14ac:dyDescent="0.2">
      <c r="A35" s="21" t="s">
        <v>18</v>
      </c>
      <c r="B35" s="59" t="s">
        <v>50</v>
      </c>
      <c r="C35" s="62">
        <v>9</v>
      </c>
      <c r="D35" s="61">
        <v>0</v>
      </c>
      <c r="E35" s="50">
        <v>0</v>
      </c>
      <c r="F35" s="51">
        <v>1</v>
      </c>
      <c r="G35" s="50">
        <v>11.1111</v>
      </c>
      <c r="H35" s="52">
        <v>0</v>
      </c>
      <c r="I35" s="50">
        <v>0</v>
      </c>
      <c r="J35" s="51">
        <v>4</v>
      </c>
      <c r="K35" s="50">
        <v>44.444000000000003</v>
      </c>
      <c r="L35" s="52">
        <v>3</v>
      </c>
      <c r="M35" s="50">
        <v>33.332999999999998</v>
      </c>
      <c r="N35" s="51">
        <v>0</v>
      </c>
      <c r="O35" s="50">
        <v>0</v>
      </c>
      <c r="P35" s="60">
        <v>1</v>
      </c>
      <c r="Q35" s="54">
        <v>11.111000000000001</v>
      </c>
      <c r="R35" s="61">
        <v>0</v>
      </c>
      <c r="S35" s="54">
        <v>0</v>
      </c>
      <c r="T35" s="61">
        <v>0</v>
      </c>
      <c r="U35" s="56">
        <v>0</v>
      </c>
      <c r="V35" s="57">
        <v>398</v>
      </c>
      <c r="W35" s="58">
        <v>100</v>
      </c>
    </row>
    <row r="36" spans="1:23" s="22" customFormat="1" ht="15" customHeight="1" x14ac:dyDescent="0.2">
      <c r="A36" s="21" t="s">
        <v>18</v>
      </c>
      <c r="B36" s="23" t="s">
        <v>54</v>
      </c>
      <c r="C36" s="36">
        <v>64</v>
      </c>
      <c r="D36" s="34">
        <v>0</v>
      </c>
      <c r="E36" s="26">
        <v>0</v>
      </c>
      <c r="F36" s="27">
        <v>1</v>
      </c>
      <c r="G36" s="26">
        <v>1.5625</v>
      </c>
      <c r="H36" s="27">
        <v>20</v>
      </c>
      <c r="I36" s="26">
        <v>31.25</v>
      </c>
      <c r="J36" s="33">
        <v>18</v>
      </c>
      <c r="K36" s="26">
        <v>28.125</v>
      </c>
      <c r="L36" s="33">
        <v>21</v>
      </c>
      <c r="M36" s="26">
        <v>32.813000000000002</v>
      </c>
      <c r="N36" s="27">
        <v>0</v>
      </c>
      <c r="O36" s="26">
        <v>0</v>
      </c>
      <c r="P36" s="35">
        <v>4</v>
      </c>
      <c r="Q36" s="29">
        <v>6.25</v>
      </c>
      <c r="R36" s="34">
        <v>35</v>
      </c>
      <c r="S36" s="29">
        <v>54.688000000000002</v>
      </c>
      <c r="T36" s="25">
        <v>1</v>
      </c>
      <c r="U36" s="30">
        <v>1.5625</v>
      </c>
      <c r="V36" s="31">
        <v>312</v>
      </c>
      <c r="W36" s="32">
        <v>100</v>
      </c>
    </row>
    <row r="37" spans="1:23" s="22" customFormat="1" ht="15" customHeight="1" x14ac:dyDescent="0.2">
      <c r="A37" s="21" t="s">
        <v>18</v>
      </c>
      <c r="B37" s="59" t="s">
        <v>51</v>
      </c>
      <c r="C37" s="48">
        <v>1</v>
      </c>
      <c r="D37" s="49">
        <v>0</v>
      </c>
      <c r="E37" s="50">
        <v>0</v>
      </c>
      <c r="F37" s="51">
        <v>0</v>
      </c>
      <c r="G37" s="50">
        <v>0</v>
      </c>
      <c r="H37" s="51">
        <v>0</v>
      </c>
      <c r="I37" s="50">
        <v>0</v>
      </c>
      <c r="J37" s="51">
        <v>0</v>
      </c>
      <c r="K37" s="50">
        <v>0</v>
      </c>
      <c r="L37" s="51">
        <v>1</v>
      </c>
      <c r="M37" s="50">
        <v>100</v>
      </c>
      <c r="N37" s="52">
        <v>0</v>
      </c>
      <c r="O37" s="50">
        <v>0</v>
      </c>
      <c r="P37" s="60">
        <v>0</v>
      </c>
      <c r="Q37" s="54">
        <v>0</v>
      </c>
      <c r="R37" s="61">
        <v>1</v>
      </c>
      <c r="S37" s="54">
        <v>100</v>
      </c>
      <c r="T37" s="49">
        <v>0</v>
      </c>
      <c r="U37" s="56">
        <v>0</v>
      </c>
      <c r="V37" s="57">
        <v>122</v>
      </c>
      <c r="W37" s="58">
        <v>100</v>
      </c>
    </row>
    <row r="38" spans="1:23" s="22" customFormat="1" ht="15" customHeight="1" x14ac:dyDescent="0.2">
      <c r="A38" s="21" t="s">
        <v>18</v>
      </c>
      <c r="B38" s="23" t="s">
        <v>52</v>
      </c>
      <c r="C38" s="24">
        <v>29</v>
      </c>
      <c r="D38" s="25">
        <v>0</v>
      </c>
      <c r="E38" s="26">
        <v>0</v>
      </c>
      <c r="F38" s="27">
        <v>0</v>
      </c>
      <c r="G38" s="26">
        <v>0</v>
      </c>
      <c r="H38" s="27">
        <v>14</v>
      </c>
      <c r="I38" s="26">
        <v>48.276000000000003</v>
      </c>
      <c r="J38" s="27">
        <v>11</v>
      </c>
      <c r="K38" s="26">
        <v>37.930999999999997</v>
      </c>
      <c r="L38" s="27">
        <v>4</v>
      </c>
      <c r="M38" s="26">
        <v>13.792999999999999</v>
      </c>
      <c r="N38" s="27">
        <v>0</v>
      </c>
      <c r="O38" s="26">
        <v>0</v>
      </c>
      <c r="P38" s="28">
        <v>0</v>
      </c>
      <c r="Q38" s="29">
        <v>0</v>
      </c>
      <c r="R38" s="34">
        <v>7</v>
      </c>
      <c r="S38" s="29">
        <v>24.138000000000002</v>
      </c>
      <c r="T38" s="25">
        <v>5</v>
      </c>
      <c r="U38" s="30">
        <v>17.241399999999999</v>
      </c>
      <c r="V38" s="31">
        <v>802</v>
      </c>
      <c r="W38" s="32">
        <v>100</v>
      </c>
    </row>
    <row r="39" spans="1:23" s="22" customFormat="1" ht="15" customHeight="1" x14ac:dyDescent="0.2">
      <c r="A39" s="21" t="s">
        <v>18</v>
      </c>
      <c r="B39" s="59" t="s">
        <v>53</v>
      </c>
      <c r="C39" s="48">
        <v>10</v>
      </c>
      <c r="D39" s="61">
        <v>0</v>
      </c>
      <c r="E39" s="50">
        <v>0</v>
      </c>
      <c r="F39" s="51">
        <v>0</v>
      </c>
      <c r="G39" s="50">
        <v>0</v>
      </c>
      <c r="H39" s="52">
        <v>10</v>
      </c>
      <c r="I39" s="50">
        <v>100</v>
      </c>
      <c r="J39" s="51">
        <v>0</v>
      </c>
      <c r="K39" s="50">
        <v>0</v>
      </c>
      <c r="L39" s="52">
        <v>0</v>
      </c>
      <c r="M39" s="50">
        <v>0</v>
      </c>
      <c r="N39" s="51">
        <v>0</v>
      </c>
      <c r="O39" s="50">
        <v>0</v>
      </c>
      <c r="P39" s="60">
        <v>0</v>
      </c>
      <c r="Q39" s="54">
        <v>0</v>
      </c>
      <c r="R39" s="49">
        <v>1</v>
      </c>
      <c r="S39" s="54">
        <v>10</v>
      </c>
      <c r="T39" s="49">
        <v>0</v>
      </c>
      <c r="U39" s="56">
        <v>0</v>
      </c>
      <c r="V39" s="57">
        <v>241</v>
      </c>
      <c r="W39" s="58">
        <v>100</v>
      </c>
    </row>
    <row r="40" spans="1:23" s="22" customFormat="1" ht="15" customHeight="1" x14ac:dyDescent="0.2">
      <c r="A40" s="21" t="s">
        <v>18</v>
      </c>
      <c r="B40" s="23" t="s">
        <v>55</v>
      </c>
      <c r="C40" s="36">
        <v>62</v>
      </c>
      <c r="D40" s="25">
        <v>1</v>
      </c>
      <c r="E40" s="26">
        <v>1.613</v>
      </c>
      <c r="F40" s="27">
        <v>0</v>
      </c>
      <c r="G40" s="26">
        <v>0</v>
      </c>
      <c r="H40" s="27">
        <v>8</v>
      </c>
      <c r="I40" s="26">
        <v>12.903</v>
      </c>
      <c r="J40" s="33">
        <v>19</v>
      </c>
      <c r="K40" s="26">
        <v>30.645</v>
      </c>
      <c r="L40" s="33">
        <v>32</v>
      </c>
      <c r="M40" s="26">
        <v>51.613</v>
      </c>
      <c r="N40" s="27">
        <v>0</v>
      </c>
      <c r="O40" s="26">
        <v>0</v>
      </c>
      <c r="P40" s="28">
        <v>2</v>
      </c>
      <c r="Q40" s="29">
        <v>3.226</v>
      </c>
      <c r="R40" s="34">
        <v>17</v>
      </c>
      <c r="S40" s="29">
        <v>27.419</v>
      </c>
      <c r="T40" s="25">
        <v>0</v>
      </c>
      <c r="U40" s="30">
        <v>0</v>
      </c>
      <c r="V40" s="31">
        <v>1296</v>
      </c>
      <c r="W40" s="32">
        <v>100</v>
      </c>
    </row>
    <row r="41" spans="1:23" s="22" customFormat="1" ht="15" customHeight="1" x14ac:dyDescent="0.2">
      <c r="A41" s="21" t="s">
        <v>18</v>
      </c>
      <c r="B41" s="59" t="s">
        <v>48</v>
      </c>
      <c r="C41" s="48">
        <v>140</v>
      </c>
      <c r="D41" s="61">
        <v>3</v>
      </c>
      <c r="E41" s="50">
        <v>2.1429999999999998</v>
      </c>
      <c r="F41" s="51">
        <v>1</v>
      </c>
      <c r="G41" s="50">
        <v>0.71430000000000005</v>
      </c>
      <c r="H41" s="51">
        <v>14</v>
      </c>
      <c r="I41" s="50">
        <v>10</v>
      </c>
      <c r="J41" s="51">
        <v>79</v>
      </c>
      <c r="K41" s="50">
        <v>56.429000000000002</v>
      </c>
      <c r="L41" s="52">
        <v>35</v>
      </c>
      <c r="M41" s="50">
        <v>25</v>
      </c>
      <c r="N41" s="52">
        <v>0</v>
      </c>
      <c r="O41" s="50">
        <v>0</v>
      </c>
      <c r="P41" s="53">
        <v>8</v>
      </c>
      <c r="Q41" s="54">
        <v>5.7140000000000004</v>
      </c>
      <c r="R41" s="49">
        <v>33</v>
      </c>
      <c r="S41" s="54">
        <v>23.571000000000002</v>
      </c>
      <c r="T41" s="61">
        <v>2</v>
      </c>
      <c r="U41" s="56">
        <v>1.4286000000000001</v>
      </c>
      <c r="V41" s="57">
        <v>935</v>
      </c>
      <c r="W41" s="58">
        <v>100</v>
      </c>
    </row>
    <row r="42" spans="1:23" s="22" customFormat="1" ht="15" customHeight="1" x14ac:dyDescent="0.2">
      <c r="A42" s="21" t="s">
        <v>18</v>
      </c>
      <c r="B42" s="23" t="s">
        <v>49</v>
      </c>
      <c r="C42" s="36">
        <v>2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2</v>
      </c>
      <c r="M42" s="26">
        <v>100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126</v>
      </c>
      <c r="W42" s="32">
        <v>100</v>
      </c>
    </row>
    <row r="43" spans="1:23" s="22" customFormat="1" ht="15" customHeight="1" x14ac:dyDescent="0.2">
      <c r="A43" s="21" t="s">
        <v>18</v>
      </c>
      <c r="B43" s="59" t="s">
        <v>56</v>
      </c>
      <c r="C43" s="48">
        <v>45</v>
      </c>
      <c r="D43" s="49">
        <v>0</v>
      </c>
      <c r="E43" s="50">
        <v>0</v>
      </c>
      <c r="F43" s="51">
        <v>0</v>
      </c>
      <c r="G43" s="50">
        <v>0</v>
      </c>
      <c r="H43" s="52">
        <v>0</v>
      </c>
      <c r="I43" s="50">
        <v>0</v>
      </c>
      <c r="J43" s="51">
        <v>37</v>
      </c>
      <c r="K43" s="50">
        <v>82.221999999999994</v>
      </c>
      <c r="L43" s="51">
        <v>6</v>
      </c>
      <c r="M43" s="50">
        <v>13.333</v>
      </c>
      <c r="N43" s="51">
        <v>0</v>
      </c>
      <c r="O43" s="50">
        <v>0</v>
      </c>
      <c r="P43" s="53">
        <v>2</v>
      </c>
      <c r="Q43" s="54">
        <v>4.444</v>
      </c>
      <c r="R43" s="61">
        <v>7</v>
      </c>
      <c r="S43" s="54">
        <v>15.555999999999999</v>
      </c>
      <c r="T43" s="61">
        <v>0</v>
      </c>
      <c r="U43" s="56">
        <v>0</v>
      </c>
      <c r="V43" s="57">
        <v>848</v>
      </c>
      <c r="W43" s="58">
        <v>100</v>
      </c>
    </row>
    <row r="44" spans="1:23" s="22" customFormat="1" ht="15" customHeight="1" x14ac:dyDescent="0.2">
      <c r="A44" s="21" t="s">
        <v>18</v>
      </c>
      <c r="B44" s="23" t="s">
        <v>57</v>
      </c>
      <c r="C44" s="24">
        <v>325</v>
      </c>
      <c r="D44" s="25">
        <v>25</v>
      </c>
      <c r="E44" s="26">
        <v>7.6920000000000002</v>
      </c>
      <c r="F44" s="33">
        <v>0</v>
      </c>
      <c r="G44" s="26">
        <v>0</v>
      </c>
      <c r="H44" s="27">
        <v>46</v>
      </c>
      <c r="I44" s="26">
        <v>14.154</v>
      </c>
      <c r="J44" s="27">
        <v>95</v>
      </c>
      <c r="K44" s="26">
        <v>29.231000000000002</v>
      </c>
      <c r="L44" s="27">
        <v>140</v>
      </c>
      <c r="M44" s="26">
        <v>43.076999999999998</v>
      </c>
      <c r="N44" s="33">
        <v>0</v>
      </c>
      <c r="O44" s="26">
        <v>0</v>
      </c>
      <c r="P44" s="35">
        <v>19</v>
      </c>
      <c r="Q44" s="29">
        <v>5.8460000000000001</v>
      </c>
      <c r="R44" s="34">
        <v>35</v>
      </c>
      <c r="S44" s="29">
        <v>10.769</v>
      </c>
      <c r="T44" s="34">
        <v>15</v>
      </c>
      <c r="U44" s="30">
        <v>4.6154000000000002</v>
      </c>
      <c r="V44" s="31">
        <v>810</v>
      </c>
      <c r="W44" s="32">
        <v>100</v>
      </c>
    </row>
    <row r="45" spans="1:23" s="22" customFormat="1" ht="15" customHeight="1" x14ac:dyDescent="0.2">
      <c r="A45" s="21" t="s">
        <v>18</v>
      </c>
      <c r="B45" s="59" t="s">
        <v>58</v>
      </c>
      <c r="C45" s="48">
        <v>1</v>
      </c>
      <c r="D45" s="61">
        <v>0</v>
      </c>
      <c r="E45" s="50">
        <v>0</v>
      </c>
      <c r="F45" s="51">
        <v>0</v>
      </c>
      <c r="G45" s="50">
        <v>0</v>
      </c>
      <c r="H45" s="52">
        <v>0</v>
      </c>
      <c r="I45" s="50">
        <v>0</v>
      </c>
      <c r="J45" s="51">
        <v>0</v>
      </c>
      <c r="K45" s="50">
        <v>0</v>
      </c>
      <c r="L45" s="52">
        <v>0</v>
      </c>
      <c r="M45" s="50">
        <v>0</v>
      </c>
      <c r="N45" s="51">
        <v>0</v>
      </c>
      <c r="O45" s="50">
        <v>0</v>
      </c>
      <c r="P45" s="53">
        <v>1</v>
      </c>
      <c r="Q45" s="54">
        <v>100</v>
      </c>
      <c r="R45" s="49">
        <v>0</v>
      </c>
      <c r="S45" s="54">
        <v>0</v>
      </c>
      <c r="T45" s="61">
        <v>0</v>
      </c>
      <c r="U45" s="56">
        <v>0</v>
      </c>
      <c r="V45" s="57">
        <v>43</v>
      </c>
      <c r="W45" s="58">
        <v>100</v>
      </c>
    </row>
    <row r="46" spans="1:23" s="22" customFormat="1" ht="15" customHeight="1" x14ac:dyDescent="0.2">
      <c r="A46" s="21" t="s">
        <v>18</v>
      </c>
      <c r="B46" s="23" t="s">
        <v>59</v>
      </c>
      <c r="C46" s="24">
        <v>16</v>
      </c>
      <c r="D46" s="25">
        <v>0</v>
      </c>
      <c r="E46" s="26">
        <v>0</v>
      </c>
      <c r="F46" s="27">
        <v>0</v>
      </c>
      <c r="G46" s="26">
        <v>0</v>
      </c>
      <c r="H46" s="27">
        <v>4</v>
      </c>
      <c r="I46" s="26">
        <v>25</v>
      </c>
      <c r="J46" s="27">
        <v>6</v>
      </c>
      <c r="K46" s="26">
        <v>37.5</v>
      </c>
      <c r="L46" s="33">
        <v>6</v>
      </c>
      <c r="M46" s="26">
        <v>37.5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266</v>
      </c>
      <c r="W46" s="32">
        <v>100</v>
      </c>
    </row>
    <row r="47" spans="1:23" s="22" customFormat="1" ht="15" customHeight="1" x14ac:dyDescent="0.2">
      <c r="A47" s="21" t="s">
        <v>18</v>
      </c>
      <c r="B47" s="59" t="s">
        <v>60</v>
      </c>
      <c r="C47" s="62">
        <v>0</v>
      </c>
      <c r="D47" s="49">
        <v>0</v>
      </c>
      <c r="E47" s="50">
        <v>0</v>
      </c>
      <c r="F47" s="52">
        <v>0</v>
      </c>
      <c r="G47" s="50">
        <v>0</v>
      </c>
      <c r="H47" s="52">
        <v>0</v>
      </c>
      <c r="I47" s="50">
        <v>0</v>
      </c>
      <c r="J47" s="52">
        <v>0</v>
      </c>
      <c r="K47" s="50">
        <v>0</v>
      </c>
      <c r="L47" s="52">
        <v>0</v>
      </c>
      <c r="M47" s="50">
        <v>0</v>
      </c>
      <c r="N47" s="51">
        <v>0</v>
      </c>
      <c r="O47" s="50">
        <v>0</v>
      </c>
      <c r="P47" s="53">
        <v>0</v>
      </c>
      <c r="Q47" s="54">
        <v>0</v>
      </c>
      <c r="R47" s="61">
        <v>0</v>
      </c>
      <c r="S47" s="54">
        <v>0</v>
      </c>
      <c r="T47" s="49">
        <v>0</v>
      </c>
      <c r="U47" s="56">
        <v>0</v>
      </c>
      <c r="V47" s="57">
        <v>54</v>
      </c>
      <c r="W47" s="58">
        <v>100</v>
      </c>
    </row>
    <row r="48" spans="1:23" s="22" customFormat="1" ht="15" customHeight="1" x14ac:dyDescent="0.2">
      <c r="A48" s="21" t="s">
        <v>18</v>
      </c>
      <c r="B48" s="23" t="s">
        <v>61</v>
      </c>
      <c r="C48" s="24">
        <v>513</v>
      </c>
      <c r="D48" s="34">
        <v>3</v>
      </c>
      <c r="E48" s="26">
        <v>0.58499999999999996</v>
      </c>
      <c r="F48" s="27">
        <v>1</v>
      </c>
      <c r="G48" s="26">
        <v>0.19489999999999999</v>
      </c>
      <c r="H48" s="33">
        <v>16</v>
      </c>
      <c r="I48" s="26">
        <v>3.1190000000000002</v>
      </c>
      <c r="J48" s="27">
        <v>349</v>
      </c>
      <c r="K48" s="26">
        <v>68.031000000000006</v>
      </c>
      <c r="L48" s="27">
        <v>127</v>
      </c>
      <c r="M48" s="26">
        <v>24.756</v>
      </c>
      <c r="N48" s="33">
        <v>0</v>
      </c>
      <c r="O48" s="26">
        <v>0</v>
      </c>
      <c r="P48" s="35">
        <v>17</v>
      </c>
      <c r="Q48" s="29">
        <v>3.3140000000000001</v>
      </c>
      <c r="R48" s="34">
        <v>69</v>
      </c>
      <c r="S48" s="29">
        <v>13.45</v>
      </c>
      <c r="T48" s="34">
        <v>9</v>
      </c>
      <c r="U48" s="30">
        <v>1.7544</v>
      </c>
      <c r="V48" s="31">
        <v>539</v>
      </c>
      <c r="W48" s="32">
        <v>100</v>
      </c>
    </row>
    <row r="49" spans="1:23" s="22" customFormat="1" ht="15" customHeight="1" x14ac:dyDescent="0.2">
      <c r="A49" s="21" t="s">
        <v>18</v>
      </c>
      <c r="B49" s="59" t="s">
        <v>62</v>
      </c>
      <c r="C49" s="62">
        <v>2</v>
      </c>
      <c r="D49" s="49">
        <v>0</v>
      </c>
      <c r="E49" s="50">
        <v>0</v>
      </c>
      <c r="F49" s="51">
        <v>0</v>
      </c>
      <c r="G49" s="50">
        <v>0</v>
      </c>
      <c r="H49" s="51">
        <v>0</v>
      </c>
      <c r="I49" s="50">
        <v>0</v>
      </c>
      <c r="J49" s="51">
        <v>0</v>
      </c>
      <c r="K49" s="50">
        <v>0</v>
      </c>
      <c r="L49" s="52">
        <v>2</v>
      </c>
      <c r="M49" s="50">
        <v>100</v>
      </c>
      <c r="N49" s="52">
        <v>0</v>
      </c>
      <c r="O49" s="50">
        <v>0</v>
      </c>
      <c r="P49" s="53">
        <v>0</v>
      </c>
      <c r="Q49" s="54">
        <v>0</v>
      </c>
      <c r="R49" s="61">
        <v>1</v>
      </c>
      <c r="S49" s="54">
        <v>50</v>
      </c>
      <c r="T49" s="61">
        <v>0</v>
      </c>
      <c r="U49" s="56">
        <v>0</v>
      </c>
      <c r="V49" s="57">
        <v>124</v>
      </c>
      <c r="W49" s="58">
        <v>100</v>
      </c>
    </row>
    <row r="50" spans="1:23" s="22" customFormat="1" ht="15" customHeight="1" x14ac:dyDescent="0.2">
      <c r="A50" s="21" t="s">
        <v>18</v>
      </c>
      <c r="B50" s="23" t="s">
        <v>63</v>
      </c>
      <c r="C50" s="24">
        <v>51</v>
      </c>
      <c r="D50" s="25">
        <v>0</v>
      </c>
      <c r="E50" s="26">
        <v>0</v>
      </c>
      <c r="F50" s="27">
        <v>0</v>
      </c>
      <c r="G50" s="26">
        <v>0</v>
      </c>
      <c r="H50" s="33">
        <v>1</v>
      </c>
      <c r="I50" s="26">
        <v>1.9610000000000001</v>
      </c>
      <c r="J50" s="27">
        <v>27</v>
      </c>
      <c r="K50" s="26">
        <v>52.941000000000003</v>
      </c>
      <c r="L50" s="27">
        <v>22</v>
      </c>
      <c r="M50" s="26">
        <v>43.137</v>
      </c>
      <c r="N50" s="33">
        <v>0</v>
      </c>
      <c r="O50" s="26">
        <v>0</v>
      </c>
      <c r="P50" s="35">
        <v>1</v>
      </c>
      <c r="Q50" s="29">
        <v>1.9610000000000001</v>
      </c>
      <c r="R50" s="25">
        <v>10</v>
      </c>
      <c r="S50" s="29">
        <v>19.608000000000001</v>
      </c>
      <c r="T50" s="25">
        <v>0</v>
      </c>
      <c r="U50" s="30">
        <v>0</v>
      </c>
      <c r="V50" s="31">
        <v>793</v>
      </c>
      <c r="W50" s="32">
        <v>100</v>
      </c>
    </row>
    <row r="51" spans="1:23" s="22" customFormat="1" ht="15" customHeight="1" x14ac:dyDescent="0.2">
      <c r="A51" s="21" t="s">
        <v>18</v>
      </c>
      <c r="B51" s="59" t="s">
        <v>64</v>
      </c>
      <c r="C51" s="48">
        <v>1342</v>
      </c>
      <c r="D51" s="49">
        <v>9</v>
      </c>
      <c r="E51" s="50">
        <v>0.67100000000000004</v>
      </c>
      <c r="F51" s="52">
        <v>15</v>
      </c>
      <c r="G51" s="50">
        <v>1.1176999999999999</v>
      </c>
      <c r="H51" s="51">
        <v>579</v>
      </c>
      <c r="I51" s="50">
        <v>43.145000000000003</v>
      </c>
      <c r="J51" s="51">
        <v>443</v>
      </c>
      <c r="K51" s="50">
        <v>33.01</v>
      </c>
      <c r="L51" s="51">
        <v>254</v>
      </c>
      <c r="M51" s="50">
        <v>18.927</v>
      </c>
      <c r="N51" s="52">
        <v>0</v>
      </c>
      <c r="O51" s="50">
        <v>0</v>
      </c>
      <c r="P51" s="53">
        <v>42</v>
      </c>
      <c r="Q51" s="54">
        <v>3.13</v>
      </c>
      <c r="R51" s="49">
        <v>123</v>
      </c>
      <c r="S51" s="54">
        <v>9.1649999999999991</v>
      </c>
      <c r="T51" s="49">
        <v>183</v>
      </c>
      <c r="U51" s="56">
        <v>13.6364</v>
      </c>
      <c r="V51" s="57">
        <v>3601</v>
      </c>
      <c r="W51" s="58">
        <v>100</v>
      </c>
    </row>
    <row r="52" spans="1:23" s="22" customFormat="1" ht="15" customHeight="1" x14ac:dyDescent="0.2">
      <c r="A52" s="21" t="s">
        <v>18</v>
      </c>
      <c r="B52" s="23" t="s">
        <v>65</v>
      </c>
      <c r="C52" s="24">
        <v>1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1</v>
      </c>
      <c r="M52" s="26">
        <v>100</v>
      </c>
      <c r="N52" s="33">
        <v>0</v>
      </c>
      <c r="O52" s="26">
        <v>0</v>
      </c>
      <c r="P52" s="28">
        <v>0</v>
      </c>
      <c r="Q52" s="29">
        <v>0</v>
      </c>
      <c r="R52" s="25">
        <v>1</v>
      </c>
      <c r="S52" s="29">
        <v>100</v>
      </c>
      <c r="T52" s="25">
        <v>0</v>
      </c>
      <c r="U52" s="30">
        <v>0</v>
      </c>
      <c r="V52" s="31">
        <v>293</v>
      </c>
      <c r="W52" s="32">
        <v>100</v>
      </c>
    </row>
    <row r="53" spans="1:23" s="22" customFormat="1" ht="15" customHeight="1" x14ac:dyDescent="0.2">
      <c r="A53" s="21" t="s">
        <v>18</v>
      </c>
      <c r="B53" s="59" t="s">
        <v>66</v>
      </c>
      <c r="C53" s="62">
        <v>0</v>
      </c>
      <c r="D53" s="61">
        <v>0</v>
      </c>
      <c r="E53" s="50">
        <v>0</v>
      </c>
      <c r="F53" s="51">
        <v>0</v>
      </c>
      <c r="G53" s="50">
        <v>0</v>
      </c>
      <c r="H53" s="52">
        <v>0</v>
      </c>
      <c r="I53" s="50">
        <v>0</v>
      </c>
      <c r="J53" s="51">
        <v>0</v>
      </c>
      <c r="K53" s="50">
        <v>0</v>
      </c>
      <c r="L53" s="52">
        <v>0</v>
      </c>
      <c r="M53" s="50">
        <v>0</v>
      </c>
      <c r="N53" s="52">
        <v>0</v>
      </c>
      <c r="O53" s="50">
        <v>0</v>
      </c>
      <c r="P53" s="53">
        <v>0</v>
      </c>
      <c r="Q53" s="54">
        <v>0</v>
      </c>
      <c r="R53" s="61">
        <v>0</v>
      </c>
      <c r="S53" s="54">
        <v>0</v>
      </c>
      <c r="T53" s="49">
        <v>0</v>
      </c>
      <c r="U53" s="56">
        <v>0</v>
      </c>
      <c r="V53" s="57">
        <v>163</v>
      </c>
      <c r="W53" s="58">
        <v>100</v>
      </c>
    </row>
    <row r="54" spans="1:23" s="22" customFormat="1" ht="15" customHeight="1" x14ac:dyDescent="0.2">
      <c r="A54" s="21" t="s">
        <v>18</v>
      </c>
      <c r="B54" s="23" t="s">
        <v>67</v>
      </c>
      <c r="C54" s="24">
        <v>139</v>
      </c>
      <c r="D54" s="34">
        <v>0</v>
      </c>
      <c r="E54" s="26">
        <v>0</v>
      </c>
      <c r="F54" s="27">
        <v>0</v>
      </c>
      <c r="G54" s="37">
        <v>0</v>
      </c>
      <c r="H54" s="33">
        <v>6</v>
      </c>
      <c r="I54" s="37">
        <v>4.3170000000000002</v>
      </c>
      <c r="J54" s="27">
        <v>66</v>
      </c>
      <c r="K54" s="26">
        <v>47.481999999999999</v>
      </c>
      <c r="L54" s="27">
        <v>60</v>
      </c>
      <c r="M54" s="26">
        <v>43.164999999999999</v>
      </c>
      <c r="N54" s="27">
        <v>0</v>
      </c>
      <c r="O54" s="26">
        <v>0</v>
      </c>
      <c r="P54" s="35">
        <v>7</v>
      </c>
      <c r="Q54" s="29">
        <v>5.0359999999999996</v>
      </c>
      <c r="R54" s="25">
        <v>27</v>
      </c>
      <c r="S54" s="29">
        <v>19.423999999999999</v>
      </c>
      <c r="T54" s="34">
        <v>1</v>
      </c>
      <c r="U54" s="30">
        <v>0.71940000000000004</v>
      </c>
      <c r="V54" s="31">
        <v>937</v>
      </c>
      <c r="W54" s="32">
        <v>100</v>
      </c>
    </row>
    <row r="55" spans="1:23" s="22" customFormat="1" ht="15" customHeight="1" x14ac:dyDescent="0.2">
      <c r="A55" s="21" t="s">
        <v>18</v>
      </c>
      <c r="B55" s="59" t="s">
        <v>68</v>
      </c>
      <c r="C55" s="48">
        <v>7</v>
      </c>
      <c r="D55" s="49">
        <v>0</v>
      </c>
      <c r="E55" s="50">
        <v>0</v>
      </c>
      <c r="F55" s="51">
        <v>0</v>
      </c>
      <c r="G55" s="50">
        <v>0</v>
      </c>
      <c r="H55" s="52">
        <v>2</v>
      </c>
      <c r="I55" s="50">
        <v>28.571000000000002</v>
      </c>
      <c r="J55" s="52">
        <v>2</v>
      </c>
      <c r="K55" s="50">
        <v>28.571000000000002</v>
      </c>
      <c r="L55" s="51">
        <v>3</v>
      </c>
      <c r="M55" s="50">
        <v>42.856999999999999</v>
      </c>
      <c r="N55" s="51">
        <v>0</v>
      </c>
      <c r="O55" s="50">
        <v>0</v>
      </c>
      <c r="P55" s="60">
        <v>0</v>
      </c>
      <c r="Q55" s="54">
        <v>0</v>
      </c>
      <c r="R55" s="49">
        <v>3</v>
      </c>
      <c r="S55" s="54">
        <v>42.856999999999999</v>
      </c>
      <c r="T55" s="61">
        <v>0</v>
      </c>
      <c r="U55" s="56">
        <v>0</v>
      </c>
      <c r="V55" s="57">
        <v>631</v>
      </c>
      <c r="W55" s="58">
        <v>100</v>
      </c>
    </row>
    <row r="56" spans="1:23" s="22" customFormat="1" ht="15" customHeight="1" x14ac:dyDescent="0.2">
      <c r="A56" s="21" t="s">
        <v>18</v>
      </c>
      <c r="B56" s="23" t="s">
        <v>69</v>
      </c>
      <c r="C56" s="24">
        <v>36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3</v>
      </c>
      <c r="K56" s="26">
        <v>8.3330000000000002</v>
      </c>
      <c r="L56" s="27">
        <v>31</v>
      </c>
      <c r="M56" s="26">
        <v>86.111000000000004</v>
      </c>
      <c r="N56" s="33">
        <v>0</v>
      </c>
      <c r="O56" s="26">
        <v>0</v>
      </c>
      <c r="P56" s="28">
        <v>2</v>
      </c>
      <c r="Q56" s="29">
        <v>5.556</v>
      </c>
      <c r="R56" s="34">
        <v>9</v>
      </c>
      <c r="S56" s="29">
        <v>25</v>
      </c>
      <c r="T56" s="34">
        <v>0</v>
      </c>
      <c r="U56" s="30">
        <v>0</v>
      </c>
      <c r="V56" s="31">
        <v>389</v>
      </c>
      <c r="W56" s="32">
        <v>100</v>
      </c>
    </row>
    <row r="57" spans="1:23" s="22" customFormat="1" ht="15" customHeight="1" x14ac:dyDescent="0.2">
      <c r="A57" s="21" t="s">
        <v>18</v>
      </c>
      <c r="B57" s="59" t="s">
        <v>70</v>
      </c>
      <c r="C57" s="48">
        <v>65</v>
      </c>
      <c r="D57" s="49">
        <v>3</v>
      </c>
      <c r="E57" s="50">
        <v>4.6150000000000002</v>
      </c>
      <c r="F57" s="52">
        <v>0</v>
      </c>
      <c r="G57" s="50">
        <v>0</v>
      </c>
      <c r="H57" s="51">
        <v>2</v>
      </c>
      <c r="I57" s="50">
        <v>3.077</v>
      </c>
      <c r="J57" s="51">
        <v>37</v>
      </c>
      <c r="K57" s="50">
        <v>56.923000000000002</v>
      </c>
      <c r="L57" s="51">
        <v>22</v>
      </c>
      <c r="M57" s="50">
        <v>33.845999999999997</v>
      </c>
      <c r="N57" s="51">
        <v>0</v>
      </c>
      <c r="O57" s="50">
        <v>0</v>
      </c>
      <c r="P57" s="60">
        <v>1</v>
      </c>
      <c r="Q57" s="54">
        <v>1.538</v>
      </c>
      <c r="R57" s="61">
        <v>14</v>
      </c>
      <c r="S57" s="54">
        <v>21.538</v>
      </c>
      <c r="T57" s="61">
        <v>0</v>
      </c>
      <c r="U57" s="56">
        <v>0</v>
      </c>
      <c r="V57" s="57">
        <v>933</v>
      </c>
      <c r="W57" s="58">
        <v>100</v>
      </c>
    </row>
    <row r="58" spans="1:23" s="22" customFormat="1" ht="15" customHeight="1" thickBot="1" x14ac:dyDescent="0.25">
      <c r="A58" s="21" t="s">
        <v>18</v>
      </c>
      <c r="B58" s="63" t="s">
        <v>71</v>
      </c>
      <c r="C58" s="64">
        <v>0</v>
      </c>
      <c r="D58" s="65">
        <v>0</v>
      </c>
      <c r="E58" s="66">
        <v>0</v>
      </c>
      <c r="F58" s="67">
        <v>0</v>
      </c>
      <c r="G58" s="66">
        <v>0</v>
      </c>
      <c r="H58" s="68">
        <v>0</v>
      </c>
      <c r="I58" s="66">
        <v>0</v>
      </c>
      <c r="J58" s="67">
        <v>0</v>
      </c>
      <c r="K58" s="66">
        <v>0</v>
      </c>
      <c r="L58" s="67">
        <v>0</v>
      </c>
      <c r="M58" s="66">
        <v>0</v>
      </c>
      <c r="N58" s="67">
        <v>0</v>
      </c>
      <c r="O58" s="66">
        <v>0</v>
      </c>
      <c r="P58" s="69">
        <v>0</v>
      </c>
      <c r="Q58" s="70">
        <v>0</v>
      </c>
      <c r="R58" s="71">
        <v>0</v>
      </c>
      <c r="S58" s="70">
        <v>0</v>
      </c>
      <c r="T58" s="71">
        <v>0</v>
      </c>
      <c r="U58" s="72">
        <v>0</v>
      </c>
      <c r="V58" s="73">
        <v>25</v>
      </c>
      <c r="W58" s="74">
        <v>100</v>
      </c>
    </row>
    <row r="59" spans="1:23" s="39" customFormat="1" ht="15" customHeight="1" x14ac:dyDescent="0.2">
      <c r="A59" s="41"/>
      <c r="B59" s="4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3"/>
      <c r="U59" s="44"/>
      <c r="V59" s="38"/>
      <c r="W59" s="38"/>
    </row>
    <row r="60" spans="1:23" s="39" customFormat="1" ht="15" customHeight="1" x14ac:dyDescent="0.2">
      <c r="A60" s="41"/>
      <c r="B60" s="42" t="str">
        <f>CONCATENATE("NOTE: Table reads (for US Totals):  Of all ",IF(ISTEXT(C7),LEFT(C7,3),TEXT(C7,"#,##0"))," public school preschool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4,303 public school preschool students receiving one or more out-of-school suspensions, 50 (1.2%) were American Indian or Alaska Native, and 774 (18.0%) were students with disabilities served under the Individuals with Disabilities Education Act (IDEA).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43"/>
      <c r="W60" s="44"/>
    </row>
    <row r="61" spans="1:23" s="22" customFormat="1" ht="15" customHeight="1" x14ac:dyDescent="0.2">
      <c r="A61" s="21"/>
      <c r="B61" s="80" t="s">
        <v>72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39" customFormat="1" ht="14.1" customHeight="1" x14ac:dyDescent="0.2">
      <c r="B62" s="80" t="s">
        <v>73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39" customFormat="1" ht="15" customHeight="1" x14ac:dyDescent="0.2">
      <c r="A63" s="41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3"/>
      <c r="U63" s="44"/>
      <c r="V63" s="38"/>
      <c r="W63" s="38"/>
    </row>
    <row r="64" spans="1:23" s="39" customFormat="1" ht="15" customHeight="1" x14ac:dyDescent="0.2">
      <c r="A64" s="41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3"/>
      <c r="U64" s="44"/>
      <c r="V64" s="38"/>
      <c r="W64" s="38"/>
    </row>
    <row r="65" spans="1:23" s="39" customFormat="1" ht="15" customHeight="1" x14ac:dyDescent="0.2">
      <c r="A65" s="4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N5:O5"/>
    <mergeCell ref="P5:Q5"/>
    <mergeCell ref="B61:W61"/>
    <mergeCell ref="B62:W62"/>
    <mergeCell ref="B4:B5"/>
    <mergeCell ref="C4:C5"/>
    <mergeCell ref="D4:Q4"/>
    <mergeCell ref="R4:S5"/>
    <mergeCell ref="T4:U5"/>
    <mergeCell ref="V4:V5"/>
    <mergeCell ref="W4:W5"/>
    <mergeCell ref="D5:E5"/>
    <mergeCell ref="F5:G5"/>
    <mergeCell ref="H5:I5"/>
    <mergeCell ref="J5:K5"/>
    <mergeCell ref="L5:M5"/>
  </mergeCells>
  <phoneticPr fontId="20" type="noConversion"/>
  <printOptions horizontalCentered="1"/>
  <pageMargins left="0.25" right="0.25" top="1" bottom="1" header="0.5" footer="0.5"/>
  <pageSetup paperSize="3" scale="75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5"/>
  <sheetViews>
    <sheetView showGridLines="0" zoomScale="80" zoomScaleNormal="80" workbookViewId="0"/>
  </sheetViews>
  <sheetFormatPr defaultColWidth="12.1640625" defaultRowHeight="15" customHeight="1" x14ac:dyDescent="0.2"/>
  <cols>
    <col min="1" max="1" width="3.33203125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3" s="2" customFormat="1" ht="15" customHeight="1" x14ac:dyDescent="0.25">
      <c r="A2" s="9"/>
      <c r="B2" s="46" t="str">
        <f>CONCATENATE("Number and percentage of public school preschool male students ",A7, ", by race/ethnicity, disability status, and English proficiency, by state: School Year 2015-16")</f>
        <v>Number and percentage of public school preschool male students receiving one or more out-of-school suspensions, by race/ethnicity, disability status, and English proficiency, by state: School Year 2015-16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3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3" s="12" customFormat="1" ht="24.95" customHeight="1" x14ac:dyDescent="0.2">
      <c r="A4" s="11"/>
      <c r="B4" s="81" t="s">
        <v>0</v>
      </c>
      <c r="C4" s="83" t="s">
        <v>12</v>
      </c>
      <c r="D4" s="85" t="s">
        <v>10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88" t="s">
        <v>17</v>
      </c>
      <c r="S4" s="89"/>
      <c r="T4" s="88" t="s">
        <v>13</v>
      </c>
      <c r="U4" s="89"/>
      <c r="V4" s="92" t="s">
        <v>16</v>
      </c>
      <c r="W4" s="94" t="s">
        <v>14</v>
      </c>
    </row>
    <row r="5" spans="1:23" s="12" customFormat="1" ht="24.95" customHeight="1" x14ac:dyDescent="0.2">
      <c r="A5" s="11"/>
      <c r="B5" s="82"/>
      <c r="C5" s="84"/>
      <c r="D5" s="96" t="s">
        <v>1</v>
      </c>
      <c r="E5" s="78"/>
      <c r="F5" s="97" t="s">
        <v>2</v>
      </c>
      <c r="G5" s="78"/>
      <c r="H5" s="77" t="s">
        <v>3</v>
      </c>
      <c r="I5" s="78"/>
      <c r="J5" s="77" t="s">
        <v>4</v>
      </c>
      <c r="K5" s="78"/>
      <c r="L5" s="77" t="s">
        <v>5</v>
      </c>
      <c r="M5" s="78"/>
      <c r="N5" s="77" t="s">
        <v>6</v>
      </c>
      <c r="O5" s="78"/>
      <c r="P5" s="77" t="s">
        <v>7</v>
      </c>
      <c r="Q5" s="79"/>
      <c r="R5" s="90"/>
      <c r="S5" s="91"/>
      <c r="T5" s="90"/>
      <c r="U5" s="91"/>
      <c r="V5" s="93"/>
      <c r="W5" s="95"/>
    </row>
    <row r="6" spans="1:23" s="12" customFormat="1" ht="15" customHeight="1" thickBot="1" x14ac:dyDescent="0.25">
      <c r="A6" s="11"/>
      <c r="B6" s="13"/>
      <c r="C6" s="40"/>
      <c r="D6" s="14" t="s">
        <v>8</v>
      </c>
      <c r="E6" s="15" t="s">
        <v>15</v>
      </c>
      <c r="F6" s="16" t="s">
        <v>8</v>
      </c>
      <c r="G6" s="15" t="s">
        <v>15</v>
      </c>
      <c r="H6" s="16" t="s">
        <v>8</v>
      </c>
      <c r="I6" s="15" t="s">
        <v>15</v>
      </c>
      <c r="J6" s="16" t="s">
        <v>8</v>
      </c>
      <c r="K6" s="15" t="s">
        <v>15</v>
      </c>
      <c r="L6" s="16" t="s">
        <v>8</v>
      </c>
      <c r="M6" s="15" t="s">
        <v>15</v>
      </c>
      <c r="N6" s="16" t="s">
        <v>8</v>
      </c>
      <c r="O6" s="15" t="s">
        <v>15</v>
      </c>
      <c r="P6" s="16" t="s">
        <v>8</v>
      </c>
      <c r="Q6" s="17" t="s">
        <v>15</v>
      </c>
      <c r="R6" s="14" t="s">
        <v>8</v>
      </c>
      <c r="S6" s="18" t="s">
        <v>9</v>
      </c>
      <c r="T6" s="16" t="s">
        <v>8</v>
      </c>
      <c r="U6" s="18" t="s">
        <v>9</v>
      </c>
      <c r="V6" s="19"/>
      <c r="W6" s="20"/>
    </row>
    <row r="7" spans="1:23" s="22" customFormat="1" ht="15" customHeight="1" x14ac:dyDescent="0.2">
      <c r="A7" s="21" t="str">
        <f>Total!A7</f>
        <v>receiving one or more out-of-school suspensions</v>
      </c>
      <c r="B7" s="47" t="s">
        <v>11</v>
      </c>
      <c r="C7" s="48">
        <v>3433</v>
      </c>
      <c r="D7" s="49">
        <v>44</v>
      </c>
      <c r="E7" s="50">
        <v>1.282</v>
      </c>
      <c r="F7" s="51">
        <v>20</v>
      </c>
      <c r="G7" s="50">
        <v>0.58260000000000001</v>
      </c>
      <c r="H7" s="51">
        <v>720</v>
      </c>
      <c r="I7" s="50">
        <v>20.972999999999999</v>
      </c>
      <c r="J7" s="51">
        <v>1516</v>
      </c>
      <c r="K7" s="50">
        <v>44.16</v>
      </c>
      <c r="L7" s="51">
        <v>991</v>
      </c>
      <c r="M7" s="50">
        <v>28.867000000000001</v>
      </c>
      <c r="N7" s="52">
        <v>0</v>
      </c>
      <c r="O7" s="50">
        <v>0</v>
      </c>
      <c r="P7" s="53">
        <v>142</v>
      </c>
      <c r="Q7" s="54">
        <v>4.1360000000000001</v>
      </c>
      <c r="R7" s="55">
        <v>684</v>
      </c>
      <c r="S7" s="54">
        <v>19.923999999999999</v>
      </c>
      <c r="T7" s="55">
        <v>207</v>
      </c>
      <c r="U7" s="56">
        <v>6.0297000000000001</v>
      </c>
      <c r="V7" s="57">
        <v>29898</v>
      </c>
      <c r="W7" s="58">
        <v>100</v>
      </c>
    </row>
    <row r="8" spans="1:23" s="22" customFormat="1" ht="15" customHeight="1" x14ac:dyDescent="0.2">
      <c r="A8" s="21" t="s">
        <v>18</v>
      </c>
      <c r="B8" s="23" t="s">
        <v>23</v>
      </c>
      <c r="C8" s="24">
        <v>34</v>
      </c>
      <c r="D8" s="25">
        <v>1</v>
      </c>
      <c r="E8" s="26">
        <v>2.9409999999999998</v>
      </c>
      <c r="F8" s="27">
        <v>0</v>
      </c>
      <c r="G8" s="26">
        <v>0</v>
      </c>
      <c r="H8" s="33">
        <v>0</v>
      </c>
      <c r="I8" s="26">
        <v>0</v>
      </c>
      <c r="J8" s="27">
        <v>20</v>
      </c>
      <c r="K8" s="26">
        <v>58.823999999999998</v>
      </c>
      <c r="L8" s="27">
        <v>13</v>
      </c>
      <c r="M8" s="26">
        <v>38.234999999999999</v>
      </c>
      <c r="N8" s="27">
        <v>0</v>
      </c>
      <c r="O8" s="26">
        <v>0</v>
      </c>
      <c r="P8" s="35">
        <v>0</v>
      </c>
      <c r="Q8" s="29">
        <v>0</v>
      </c>
      <c r="R8" s="25">
        <v>6</v>
      </c>
      <c r="S8" s="29">
        <v>17.646999999999998</v>
      </c>
      <c r="T8" s="34">
        <v>0</v>
      </c>
      <c r="U8" s="30">
        <v>0</v>
      </c>
      <c r="V8" s="31">
        <v>446</v>
      </c>
      <c r="W8" s="32">
        <v>100</v>
      </c>
    </row>
    <row r="9" spans="1:23" s="22" customFormat="1" ht="15" customHeight="1" x14ac:dyDescent="0.2">
      <c r="A9" s="21" t="s">
        <v>18</v>
      </c>
      <c r="B9" s="59" t="s">
        <v>22</v>
      </c>
      <c r="C9" s="48">
        <v>5</v>
      </c>
      <c r="D9" s="49">
        <v>5</v>
      </c>
      <c r="E9" s="50">
        <v>100</v>
      </c>
      <c r="F9" s="51">
        <v>0</v>
      </c>
      <c r="G9" s="50">
        <v>0</v>
      </c>
      <c r="H9" s="51">
        <v>0</v>
      </c>
      <c r="I9" s="50">
        <v>0</v>
      </c>
      <c r="J9" s="52">
        <v>0</v>
      </c>
      <c r="K9" s="50">
        <v>0</v>
      </c>
      <c r="L9" s="52">
        <v>0</v>
      </c>
      <c r="M9" s="50">
        <v>0</v>
      </c>
      <c r="N9" s="51">
        <v>0</v>
      </c>
      <c r="O9" s="50">
        <v>0</v>
      </c>
      <c r="P9" s="60">
        <v>0</v>
      </c>
      <c r="Q9" s="54">
        <v>0</v>
      </c>
      <c r="R9" s="61">
        <v>1</v>
      </c>
      <c r="S9" s="54">
        <v>20</v>
      </c>
      <c r="T9" s="61">
        <v>0</v>
      </c>
      <c r="U9" s="56">
        <v>0</v>
      </c>
      <c r="V9" s="57">
        <v>205</v>
      </c>
      <c r="W9" s="58">
        <v>100</v>
      </c>
    </row>
    <row r="10" spans="1:23" s="22" customFormat="1" ht="15" customHeight="1" x14ac:dyDescent="0.2">
      <c r="A10" s="21" t="s">
        <v>18</v>
      </c>
      <c r="B10" s="23" t="s">
        <v>25</v>
      </c>
      <c r="C10" s="24">
        <v>12</v>
      </c>
      <c r="D10" s="34">
        <v>0</v>
      </c>
      <c r="E10" s="26">
        <v>0</v>
      </c>
      <c r="F10" s="27">
        <v>0</v>
      </c>
      <c r="G10" s="26">
        <v>0</v>
      </c>
      <c r="H10" s="33">
        <v>5</v>
      </c>
      <c r="I10" s="26">
        <v>41.667000000000002</v>
      </c>
      <c r="J10" s="27">
        <v>2</v>
      </c>
      <c r="K10" s="26">
        <v>16.667000000000002</v>
      </c>
      <c r="L10" s="33">
        <v>5</v>
      </c>
      <c r="M10" s="26">
        <v>41.667000000000002</v>
      </c>
      <c r="N10" s="33">
        <v>0</v>
      </c>
      <c r="O10" s="26">
        <v>0</v>
      </c>
      <c r="P10" s="28">
        <v>0</v>
      </c>
      <c r="Q10" s="29">
        <v>0</v>
      </c>
      <c r="R10" s="34">
        <v>4</v>
      </c>
      <c r="S10" s="29">
        <v>33.332999999999998</v>
      </c>
      <c r="T10" s="34">
        <v>0</v>
      </c>
      <c r="U10" s="30">
        <v>0</v>
      </c>
      <c r="V10" s="31">
        <v>459</v>
      </c>
      <c r="W10" s="32">
        <v>100</v>
      </c>
    </row>
    <row r="11" spans="1:23" s="22" customFormat="1" ht="15" customHeight="1" x14ac:dyDescent="0.2">
      <c r="A11" s="21" t="s">
        <v>18</v>
      </c>
      <c r="B11" s="59" t="s">
        <v>24</v>
      </c>
      <c r="C11" s="48">
        <v>67</v>
      </c>
      <c r="D11" s="49">
        <v>0</v>
      </c>
      <c r="E11" s="50">
        <v>0</v>
      </c>
      <c r="F11" s="52">
        <v>0</v>
      </c>
      <c r="G11" s="50">
        <v>0</v>
      </c>
      <c r="H11" s="51">
        <v>7</v>
      </c>
      <c r="I11" s="50">
        <v>10.448</v>
      </c>
      <c r="J11" s="51">
        <v>55</v>
      </c>
      <c r="K11" s="50">
        <v>82.09</v>
      </c>
      <c r="L11" s="51">
        <v>3</v>
      </c>
      <c r="M11" s="50">
        <v>4.4779999999999998</v>
      </c>
      <c r="N11" s="51">
        <v>0</v>
      </c>
      <c r="O11" s="50">
        <v>0</v>
      </c>
      <c r="P11" s="60">
        <v>2</v>
      </c>
      <c r="Q11" s="54">
        <v>2.9849999999999999</v>
      </c>
      <c r="R11" s="61">
        <v>0</v>
      </c>
      <c r="S11" s="54">
        <v>0</v>
      </c>
      <c r="T11" s="49">
        <v>0</v>
      </c>
      <c r="U11" s="56">
        <v>0</v>
      </c>
      <c r="V11" s="57">
        <v>289</v>
      </c>
      <c r="W11" s="58">
        <v>100</v>
      </c>
    </row>
    <row r="12" spans="1:23" s="22" customFormat="1" ht="15" customHeight="1" x14ac:dyDescent="0.2">
      <c r="A12" s="21" t="s">
        <v>18</v>
      </c>
      <c r="B12" s="23" t="s">
        <v>26</v>
      </c>
      <c r="C12" s="24">
        <v>11</v>
      </c>
      <c r="D12" s="25">
        <v>0</v>
      </c>
      <c r="E12" s="26">
        <v>0</v>
      </c>
      <c r="F12" s="33">
        <v>0</v>
      </c>
      <c r="G12" s="26">
        <v>0</v>
      </c>
      <c r="H12" s="27">
        <v>9</v>
      </c>
      <c r="I12" s="26">
        <v>81.817999999999998</v>
      </c>
      <c r="J12" s="27">
        <v>2</v>
      </c>
      <c r="K12" s="26">
        <v>18.181999999999999</v>
      </c>
      <c r="L12" s="27">
        <v>0</v>
      </c>
      <c r="M12" s="26">
        <v>0</v>
      </c>
      <c r="N12" s="33">
        <v>0</v>
      </c>
      <c r="O12" s="26">
        <v>0</v>
      </c>
      <c r="P12" s="35">
        <v>0</v>
      </c>
      <c r="Q12" s="29">
        <v>0</v>
      </c>
      <c r="R12" s="34">
        <v>8</v>
      </c>
      <c r="S12" s="29">
        <v>72.727000000000004</v>
      </c>
      <c r="T12" s="25">
        <v>3</v>
      </c>
      <c r="U12" s="30">
        <v>27.2727</v>
      </c>
      <c r="V12" s="31">
        <v>1867</v>
      </c>
      <c r="W12" s="32">
        <v>100</v>
      </c>
    </row>
    <row r="13" spans="1:23" s="22" customFormat="1" ht="15" customHeight="1" x14ac:dyDescent="0.2">
      <c r="A13" s="21" t="s">
        <v>18</v>
      </c>
      <c r="B13" s="59" t="s">
        <v>27</v>
      </c>
      <c r="C13" s="48">
        <v>18</v>
      </c>
      <c r="D13" s="49">
        <v>0</v>
      </c>
      <c r="E13" s="50">
        <v>0</v>
      </c>
      <c r="F13" s="52">
        <v>0</v>
      </c>
      <c r="G13" s="50">
        <v>0</v>
      </c>
      <c r="H13" s="51">
        <v>6</v>
      </c>
      <c r="I13" s="50">
        <v>33.332999999999998</v>
      </c>
      <c r="J13" s="52">
        <v>3</v>
      </c>
      <c r="K13" s="50">
        <v>16.667000000000002</v>
      </c>
      <c r="L13" s="51">
        <v>9</v>
      </c>
      <c r="M13" s="50">
        <v>50</v>
      </c>
      <c r="N13" s="51">
        <v>0</v>
      </c>
      <c r="O13" s="50">
        <v>0</v>
      </c>
      <c r="P13" s="53">
        <v>0</v>
      </c>
      <c r="Q13" s="54">
        <v>0</v>
      </c>
      <c r="R13" s="49">
        <v>0</v>
      </c>
      <c r="S13" s="54">
        <v>0</v>
      </c>
      <c r="T13" s="61">
        <v>0</v>
      </c>
      <c r="U13" s="56">
        <v>0</v>
      </c>
      <c r="V13" s="57">
        <v>627</v>
      </c>
      <c r="W13" s="58">
        <v>100</v>
      </c>
    </row>
    <row r="14" spans="1:23" s="22" customFormat="1" ht="15" customHeight="1" x14ac:dyDescent="0.2">
      <c r="A14" s="21" t="s">
        <v>18</v>
      </c>
      <c r="B14" s="23" t="s">
        <v>28</v>
      </c>
      <c r="C14" s="36">
        <v>10</v>
      </c>
      <c r="D14" s="25">
        <v>0</v>
      </c>
      <c r="E14" s="26">
        <v>0</v>
      </c>
      <c r="F14" s="27">
        <v>0</v>
      </c>
      <c r="G14" s="26">
        <v>0</v>
      </c>
      <c r="H14" s="33">
        <v>1</v>
      </c>
      <c r="I14" s="26">
        <v>10</v>
      </c>
      <c r="J14" s="33">
        <v>7</v>
      </c>
      <c r="K14" s="26">
        <v>70</v>
      </c>
      <c r="L14" s="33">
        <v>1</v>
      </c>
      <c r="M14" s="26">
        <v>10</v>
      </c>
      <c r="N14" s="27">
        <v>0</v>
      </c>
      <c r="O14" s="26">
        <v>0</v>
      </c>
      <c r="P14" s="28">
        <v>1</v>
      </c>
      <c r="Q14" s="29">
        <v>10</v>
      </c>
      <c r="R14" s="34">
        <v>6</v>
      </c>
      <c r="S14" s="29">
        <v>60</v>
      </c>
      <c r="T14" s="25">
        <v>0</v>
      </c>
      <c r="U14" s="30">
        <v>0</v>
      </c>
      <c r="V14" s="31">
        <v>381</v>
      </c>
      <c r="W14" s="32">
        <v>100</v>
      </c>
    </row>
    <row r="15" spans="1:23" s="22" customFormat="1" ht="15" customHeight="1" x14ac:dyDescent="0.2">
      <c r="A15" s="21" t="s">
        <v>18</v>
      </c>
      <c r="B15" s="59" t="s">
        <v>30</v>
      </c>
      <c r="C15" s="62">
        <v>3</v>
      </c>
      <c r="D15" s="49">
        <v>0</v>
      </c>
      <c r="E15" s="50">
        <v>0</v>
      </c>
      <c r="F15" s="51">
        <v>0</v>
      </c>
      <c r="G15" s="50">
        <v>0</v>
      </c>
      <c r="H15" s="51">
        <v>0</v>
      </c>
      <c r="I15" s="50">
        <v>0</v>
      </c>
      <c r="J15" s="52">
        <v>2</v>
      </c>
      <c r="K15" s="50">
        <v>66.667000000000002</v>
      </c>
      <c r="L15" s="51">
        <v>1</v>
      </c>
      <c r="M15" s="50">
        <v>33.332999999999998</v>
      </c>
      <c r="N15" s="52">
        <v>0</v>
      </c>
      <c r="O15" s="50">
        <v>0</v>
      </c>
      <c r="P15" s="53">
        <v>0</v>
      </c>
      <c r="Q15" s="54">
        <v>0</v>
      </c>
      <c r="R15" s="61">
        <v>3</v>
      </c>
      <c r="S15" s="54">
        <v>100</v>
      </c>
      <c r="T15" s="49">
        <v>0</v>
      </c>
      <c r="U15" s="56">
        <v>0</v>
      </c>
      <c r="V15" s="57">
        <v>44</v>
      </c>
      <c r="W15" s="58">
        <v>100</v>
      </c>
    </row>
    <row r="16" spans="1:23" s="22" customFormat="1" ht="15" customHeight="1" x14ac:dyDescent="0.2">
      <c r="A16" s="21" t="s">
        <v>18</v>
      </c>
      <c r="B16" s="23" t="s">
        <v>29</v>
      </c>
      <c r="C16" s="36">
        <v>11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11</v>
      </c>
      <c r="K16" s="26">
        <v>100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3</v>
      </c>
      <c r="S16" s="29">
        <v>27.273</v>
      </c>
      <c r="T16" s="25">
        <v>0</v>
      </c>
      <c r="U16" s="30">
        <v>0</v>
      </c>
      <c r="V16" s="31">
        <v>134</v>
      </c>
      <c r="W16" s="32">
        <v>100</v>
      </c>
    </row>
    <row r="17" spans="1:23" s="22" customFormat="1" ht="15" customHeight="1" x14ac:dyDescent="0.2">
      <c r="A17" s="21" t="s">
        <v>18</v>
      </c>
      <c r="B17" s="59" t="s">
        <v>31</v>
      </c>
      <c r="C17" s="48">
        <v>243</v>
      </c>
      <c r="D17" s="49">
        <v>0</v>
      </c>
      <c r="E17" s="50">
        <v>0</v>
      </c>
      <c r="F17" s="52">
        <v>1</v>
      </c>
      <c r="G17" s="50">
        <v>0.41149999999999998</v>
      </c>
      <c r="H17" s="51">
        <v>41</v>
      </c>
      <c r="I17" s="50">
        <v>16.872</v>
      </c>
      <c r="J17" s="52">
        <v>93</v>
      </c>
      <c r="K17" s="50">
        <v>38.271999999999998</v>
      </c>
      <c r="L17" s="52">
        <v>96</v>
      </c>
      <c r="M17" s="50">
        <v>39.506</v>
      </c>
      <c r="N17" s="52">
        <v>0</v>
      </c>
      <c r="O17" s="50">
        <v>0</v>
      </c>
      <c r="P17" s="60">
        <v>12</v>
      </c>
      <c r="Q17" s="54">
        <v>4.9379999999999997</v>
      </c>
      <c r="R17" s="49">
        <v>166</v>
      </c>
      <c r="S17" s="54">
        <v>68.313000000000002</v>
      </c>
      <c r="T17" s="49">
        <v>13</v>
      </c>
      <c r="U17" s="56">
        <v>5.3498000000000001</v>
      </c>
      <c r="V17" s="57">
        <v>1786</v>
      </c>
      <c r="W17" s="58">
        <v>100</v>
      </c>
    </row>
    <row r="18" spans="1:23" s="22" customFormat="1" ht="15" customHeight="1" x14ac:dyDescent="0.2">
      <c r="A18" s="21" t="s">
        <v>18</v>
      </c>
      <c r="B18" s="23" t="s">
        <v>32</v>
      </c>
      <c r="C18" s="24">
        <v>133</v>
      </c>
      <c r="D18" s="34">
        <v>0</v>
      </c>
      <c r="E18" s="26">
        <v>0</v>
      </c>
      <c r="F18" s="27">
        <v>0</v>
      </c>
      <c r="G18" s="26">
        <v>0</v>
      </c>
      <c r="H18" s="27">
        <v>8</v>
      </c>
      <c r="I18" s="26">
        <v>6.0149999999999997</v>
      </c>
      <c r="J18" s="27">
        <v>80</v>
      </c>
      <c r="K18" s="26">
        <v>60.15</v>
      </c>
      <c r="L18" s="27">
        <v>37</v>
      </c>
      <c r="M18" s="26">
        <v>27.82</v>
      </c>
      <c r="N18" s="27">
        <v>0</v>
      </c>
      <c r="O18" s="26">
        <v>0</v>
      </c>
      <c r="P18" s="28">
        <v>8</v>
      </c>
      <c r="Q18" s="29">
        <v>6.0149999999999997</v>
      </c>
      <c r="R18" s="34">
        <v>23</v>
      </c>
      <c r="S18" s="29">
        <v>17.292999999999999</v>
      </c>
      <c r="T18" s="25">
        <v>0</v>
      </c>
      <c r="U18" s="30">
        <v>0</v>
      </c>
      <c r="V18" s="31">
        <v>1117</v>
      </c>
      <c r="W18" s="32">
        <v>100</v>
      </c>
    </row>
    <row r="19" spans="1:23" s="22" customFormat="1" ht="15" customHeight="1" x14ac:dyDescent="0.2">
      <c r="A19" s="21" t="s">
        <v>20</v>
      </c>
      <c r="B19" s="59" t="s">
        <v>21</v>
      </c>
      <c r="C19" s="48">
        <v>1</v>
      </c>
      <c r="D19" s="49">
        <v>0</v>
      </c>
      <c r="E19" s="50">
        <v>0</v>
      </c>
      <c r="F19" s="51">
        <v>0</v>
      </c>
      <c r="G19" s="50">
        <v>0</v>
      </c>
      <c r="H19" s="51">
        <v>1</v>
      </c>
      <c r="I19" s="50">
        <v>100</v>
      </c>
      <c r="J19" s="51">
        <v>0</v>
      </c>
      <c r="K19" s="50">
        <v>0</v>
      </c>
      <c r="L19" s="51">
        <v>0</v>
      </c>
      <c r="M19" s="50">
        <v>0</v>
      </c>
      <c r="N19" s="51">
        <v>0</v>
      </c>
      <c r="O19" s="50">
        <v>0</v>
      </c>
      <c r="P19" s="53">
        <v>0</v>
      </c>
      <c r="Q19" s="54">
        <v>0</v>
      </c>
      <c r="R19" s="49">
        <v>1</v>
      </c>
      <c r="S19" s="54">
        <v>100</v>
      </c>
      <c r="T19" s="49">
        <v>0</v>
      </c>
      <c r="U19" s="56">
        <v>0</v>
      </c>
      <c r="V19" s="75">
        <v>173</v>
      </c>
      <c r="W19" s="76">
        <v>100</v>
      </c>
    </row>
    <row r="20" spans="1:23" s="22" customFormat="1" ht="15" customHeight="1" x14ac:dyDescent="0.2">
      <c r="A20" s="21" t="s">
        <v>18</v>
      </c>
      <c r="B20" s="23" t="s">
        <v>34</v>
      </c>
      <c r="C20" s="36">
        <v>1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1</v>
      </c>
      <c r="M20" s="26">
        <v>100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139</v>
      </c>
      <c r="W20" s="32">
        <v>100</v>
      </c>
    </row>
    <row r="21" spans="1:23" s="22" customFormat="1" ht="15" customHeight="1" x14ac:dyDescent="0.2">
      <c r="A21" s="21" t="s">
        <v>18</v>
      </c>
      <c r="B21" s="59" t="s">
        <v>35</v>
      </c>
      <c r="C21" s="48">
        <v>73</v>
      </c>
      <c r="D21" s="61">
        <v>0</v>
      </c>
      <c r="E21" s="50">
        <v>0</v>
      </c>
      <c r="F21" s="51">
        <v>0</v>
      </c>
      <c r="G21" s="50">
        <v>0</v>
      </c>
      <c r="H21" s="52">
        <v>5</v>
      </c>
      <c r="I21" s="50">
        <v>6.8490000000000002</v>
      </c>
      <c r="J21" s="51">
        <v>33</v>
      </c>
      <c r="K21" s="50">
        <v>45.204999999999998</v>
      </c>
      <c r="L21" s="51">
        <v>34</v>
      </c>
      <c r="M21" s="50">
        <v>46.575000000000003</v>
      </c>
      <c r="N21" s="51">
        <v>0</v>
      </c>
      <c r="O21" s="50">
        <v>0</v>
      </c>
      <c r="P21" s="60">
        <v>1</v>
      </c>
      <c r="Q21" s="54">
        <v>1.37</v>
      </c>
      <c r="R21" s="49">
        <v>9</v>
      </c>
      <c r="S21" s="54">
        <v>12.329000000000001</v>
      </c>
      <c r="T21" s="61">
        <v>1</v>
      </c>
      <c r="U21" s="56">
        <v>1.3698999999999999</v>
      </c>
      <c r="V21" s="57">
        <v>1301</v>
      </c>
      <c r="W21" s="58">
        <v>100</v>
      </c>
    </row>
    <row r="22" spans="1:23" s="22" customFormat="1" ht="15" customHeight="1" x14ac:dyDescent="0.2">
      <c r="A22" s="21" t="s">
        <v>18</v>
      </c>
      <c r="B22" s="23" t="s">
        <v>36</v>
      </c>
      <c r="C22" s="24">
        <v>42</v>
      </c>
      <c r="D22" s="25">
        <v>0</v>
      </c>
      <c r="E22" s="26">
        <v>0</v>
      </c>
      <c r="F22" s="33">
        <v>0</v>
      </c>
      <c r="G22" s="26">
        <v>0</v>
      </c>
      <c r="H22" s="33">
        <v>6</v>
      </c>
      <c r="I22" s="26">
        <v>14.286</v>
      </c>
      <c r="J22" s="27">
        <v>8</v>
      </c>
      <c r="K22" s="26">
        <v>19.047999999999998</v>
      </c>
      <c r="L22" s="27">
        <v>25</v>
      </c>
      <c r="M22" s="26">
        <v>59.524000000000001</v>
      </c>
      <c r="N22" s="27">
        <v>0</v>
      </c>
      <c r="O22" s="26">
        <v>0</v>
      </c>
      <c r="P22" s="35">
        <v>3</v>
      </c>
      <c r="Q22" s="29">
        <v>7.1429999999999998</v>
      </c>
      <c r="R22" s="34">
        <v>14</v>
      </c>
      <c r="S22" s="29">
        <v>33.332999999999998</v>
      </c>
      <c r="T22" s="34">
        <v>0</v>
      </c>
      <c r="U22" s="30">
        <v>0</v>
      </c>
      <c r="V22" s="31">
        <v>440</v>
      </c>
      <c r="W22" s="32">
        <v>100</v>
      </c>
    </row>
    <row r="23" spans="1:23" s="22" customFormat="1" ht="15" customHeight="1" x14ac:dyDescent="0.2">
      <c r="A23" s="21" t="s">
        <v>18</v>
      </c>
      <c r="B23" s="59" t="s">
        <v>33</v>
      </c>
      <c r="C23" s="48">
        <v>16</v>
      </c>
      <c r="D23" s="49">
        <v>0</v>
      </c>
      <c r="E23" s="50">
        <v>0</v>
      </c>
      <c r="F23" s="51">
        <v>0</v>
      </c>
      <c r="G23" s="50">
        <v>0</v>
      </c>
      <c r="H23" s="51">
        <v>0</v>
      </c>
      <c r="I23" s="50">
        <v>0</v>
      </c>
      <c r="J23" s="51">
        <v>3</v>
      </c>
      <c r="K23" s="50">
        <v>18.75</v>
      </c>
      <c r="L23" s="51">
        <v>12</v>
      </c>
      <c r="M23" s="50">
        <v>75</v>
      </c>
      <c r="N23" s="51">
        <v>0</v>
      </c>
      <c r="O23" s="50">
        <v>0</v>
      </c>
      <c r="P23" s="60">
        <v>1</v>
      </c>
      <c r="Q23" s="54">
        <v>6.25</v>
      </c>
      <c r="R23" s="61">
        <v>4</v>
      </c>
      <c r="S23" s="54">
        <v>25</v>
      </c>
      <c r="T23" s="49">
        <v>0</v>
      </c>
      <c r="U23" s="56">
        <v>0</v>
      </c>
      <c r="V23" s="57">
        <v>485</v>
      </c>
      <c r="W23" s="58">
        <v>100</v>
      </c>
    </row>
    <row r="24" spans="1:23" s="22" customFormat="1" ht="15" customHeight="1" x14ac:dyDescent="0.2">
      <c r="A24" s="21" t="s">
        <v>18</v>
      </c>
      <c r="B24" s="23" t="s">
        <v>37</v>
      </c>
      <c r="C24" s="24">
        <v>20</v>
      </c>
      <c r="D24" s="34">
        <v>0</v>
      </c>
      <c r="E24" s="26">
        <v>0</v>
      </c>
      <c r="F24" s="27">
        <v>0</v>
      </c>
      <c r="G24" s="26">
        <v>0</v>
      </c>
      <c r="H24" s="33">
        <v>2</v>
      </c>
      <c r="I24" s="26">
        <v>10</v>
      </c>
      <c r="J24" s="27">
        <v>2</v>
      </c>
      <c r="K24" s="26">
        <v>10</v>
      </c>
      <c r="L24" s="27">
        <v>15</v>
      </c>
      <c r="M24" s="26">
        <v>75</v>
      </c>
      <c r="N24" s="27">
        <v>0</v>
      </c>
      <c r="O24" s="26">
        <v>0</v>
      </c>
      <c r="P24" s="35">
        <v>1</v>
      </c>
      <c r="Q24" s="29">
        <v>5</v>
      </c>
      <c r="R24" s="34">
        <v>7</v>
      </c>
      <c r="S24" s="29">
        <v>35</v>
      </c>
      <c r="T24" s="25">
        <v>1</v>
      </c>
      <c r="U24" s="30">
        <v>5</v>
      </c>
      <c r="V24" s="31">
        <v>473</v>
      </c>
      <c r="W24" s="32">
        <v>100</v>
      </c>
    </row>
    <row r="25" spans="1:23" s="22" customFormat="1" ht="15" customHeight="1" x14ac:dyDescent="0.2">
      <c r="A25" s="21" t="s">
        <v>18</v>
      </c>
      <c r="B25" s="59" t="s">
        <v>38</v>
      </c>
      <c r="C25" s="62">
        <v>0</v>
      </c>
      <c r="D25" s="49">
        <v>0</v>
      </c>
      <c r="E25" s="50">
        <v>0</v>
      </c>
      <c r="F25" s="51">
        <v>0</v>
      </c>
      <c r="G25" s="50">
        <v>0</v>
      </c>
      <c r="H25" s="51">
        <v>0</v>
      </c>
      <c r="I25" s="50">
        <v>0</v>
      </c>
      <c r="J25" s="51">
        <v>0</v>
      </c>
      <c r="K25" s="50">
        <v>0</v>
      </c>
      <c r="L25" s="52">
        <v>0</v>
      </c>
      <c r="M25" s="50">
        <v>0</v>
      </c>
      <c r="N25" s="51">
        <v>0</v>
      </c>
      <c r="O25" s="50">
        <v>0</v>
      </c>
      <c r="P25" s="60">
        <v>0</v>
      </c>
      <c r="Q25" s="54">
        <v>0</v>
      </c>
      <c r="R25" s="49">
        <v>0</v>
      </c>
      <c r="S25" s="54">
        <v>0</v>
      </c>
      <c r="T25" s="49">
        <v>0</v>
      </c>
      <c r="U25" s="56">
        <v>0</v>
      </c>
      <c r="V25" s="57">
        <v>541</v>
      </c>
      <c r="W25" s="58">
        <v>100</v>
      </c>
    </row>
    <row r="26" spans="1:23" s="22" customFormat="1" ht="15" customHeight="1" x14ac:dyDescent="0.2">
      <c r="A26" s="21" t="s">
        <v>18</v>
      </c>
      <c r="B26" s="23" t="s">
        <v>39</v>
      </c>
      <c r="C26" s="24">
        <v>180</v>
      </c>
      <c r="D26" s="25">
        <v>0</v>
      </c>
      <c r="E26" s="26">
        <v>0</v>
      </c>
      <c r="F26" s="33">
        <v>2</v>
      </c>
      <c r="G26" s="26">
        <v>1.1111</v>
      </c>
      <c r="H26" s="33">
        <v>12</v>
      </c>
      <c r="I26" s="26">
        <v>6.6669999999999998</v>
      </c>
      <c r="J26" s="27">
        <v>101</v>
      </c>
      <c r="K26" s="26">
        <v>56.110999999999997</v>
      </c>
      <c r="L26" s="27">
        <v>59</v>
      </c>
      <c r="M26" s="26">
        <v>32.777999999999999</v>
      </c>
      <c r="N26" s="33">
        <v>0</v>
      </c>
      <c r="O26" s="26">
        <v>0</v>
      </c>
      <c r="P26" s="35">
        <v>6</v>
      </c>
      <c r="Q26" s="29">
        <v>3.3330000000000002</v>
      </c>
      <c r="R26" s="25">
        <v>38</v>
      </c>
      <c r="S26" s="29">
        <v>21.111000000000001</v>
      </c>
      <c r="T26" s="25">
        <v>4</v>
      </c>
      <c r="U26" s="30">
        <v>2.2222</v>
      </c>
      <c r="V26" s="31">
        <v>681</v>
      </c>
      <c r="W26" s="32">
        <v>100</v>
      </c>
    </row>
    <row r="27" spans="1:23" s="22" customFormat="1" ht="15" customHeight="1" x14ac:dyDescent="0.2">
      <c r="A27" s="21" t="s">
        <v>18</v>
      </c>
      <c r="B27" s="59" t="s">
        <v>42</v>
      </c>
      <c r="C27" s="62">
        <v>2</v>
      </c>
      <c r="D27" s="61">
        <v>0</v>
      </c>
      <c r="E27" s="50">
        <v>0</v>
      </c>
      <c r="F27" s="51">
        <v>0</v>
      </c>
      <c r="G27" s="50">
        <v>0</v>
      </c>
      <c r="H27" s="51">
        <v>0</v>
      </c>
      <c r="I27" s="50">
        <v>0</v>
      </c>
      <c r="J27" s="51">
        <v>0</v>
      </c>
      <c r="K27" s="50">
        <v>0</v>
      </c>
      <c r="L27" s="52">
        <v>1</v>
      </c>
      <c r="M27" s="50">
        <v>50</v>
      </c>
      <c r="N27" s="51">
        <v>0</v>
      </c>
      <c r="O27" s="50">
        <v>0</v>
      </c>
      <c r="P27" s="60">
        <v>1</v>
      </c>
      <c r="Q27" s="54">
        <v>50</v>
      </c>
      <c r="R27" s="61">
        <v>0</v>
      </c>
      <c r="S27" s="54">
        <v>0</v>
      </c>
      <c r="T27" s="49">
        <v>0</v>
      </c>
      <c r="U27" s="56">
        <v>0</v>
      </c>
      <c r="V27" s="57">
        <v>211</v>
      </c>
      <c r="W27" s="58">
        <v>100</v>
      </c>
    </row>
    <row r="28" spans="1:23" s="22" customFormat="1" ht="15" customHeight="1" x14ac:dyDescent="0.2">
      <c r="A28" s="21" t="s">
        <v>18</v>
      </c>
      <c r="B28" s="23" t="s">
        <v>41</v>
      </c>
      <c r="C28" s="36">
        <v>68</v>
      </c>
      <c r="D28" s="34">
        <v>0</v>
      </c>
      <c r="E28" s="26">
        <v>0</v>
      </c>
      <c r="F28" s="27">
        <v>0</v>
      </c>
      <c r="G28" s="26">
        <v>0</v>
      </c>
      <c r="H28" s="27">
        <v>3</v>
      </c>
      <c r="I28" s="26">
        <v>4.4119999999999999</v>
      </c>
      <c r="J28" s="27">
        <v>43</v>
      </c>
      <c r="K28" s="26">
        <v>63.234999999999999</v>
      </c>
      <c r="L28" s="33">
        <v>16</v>
      </c>
      <c r="M28" s="26">
        <v>23.529</v>
      </c>
      <c r="N28" s="27">
        <v>0</v>
      </c>
      <c r="O28" s="26">
        <v>0</v>
      </c>
      <c r="P28" s="28">
        <v>6</v>
      </c>
      <c r="Q28" s="29">
        <v>8.8239999999999998</v>
      </c>
      <c r="R28" s="25">
        <v>11</v>
      </c>
      <c r="S28" s="29">
        <v>16.175999999999998</v>
      </c>
      <c r="T28" s="34">
        <v>1</v>
      </c>
      <c r="U28" s="30">
        <v>1.4705999999999999</v>
      </c>
      <c r="V28" s="31">
        <v>702</v>
      </c>
      <c r="W28" s="32">
        <v>100</v>
      </c>
    </row>
    <row r="29" spans="1:23" s="22" customFormat="1" ht="15" customHeight="1" x14ac:dyDescent="0.2">
      <c r="A29" s="21" t="s">
        <v>18</v>
      </c>
      <c r="B29" s="59" t="s">
        <v>40</v>
      </c>
      <c r="C29" s="48">
        <v>9</v>
      </c>
      <c r="D29" s="49">
        <v>0</v>
      </c>
      <c r="E29" s="50">
        <v>0</v>
      </c>
      <c r="F29" s="51">
        <v>0</v>
      </c>
      <c r="G29" s="50">
        <v>0</v>
      </c>
      <c r="H29" s="52">
        <v>6</v>
      </c>
      <c r="I29" s="50">
        <v>66.667000000000002</v>
      </c>
      <c r="J29" s="51">
        <v>2</v>
      </c>
      <c r="K29" s="50">
        <v>22.222000000000001</v>
      </c>
      <c r="L29" s="52">
        <v>1</v>
      </c>
      <c r="M29" s="50">
        <v>11.111000000000001</v>
      </c>
      <c r="N29" s="51">
        <v>0</v>
      </c>
      <c r="O29" s="50">
        <v>0</v>
      </c>
      <c r="P29" s="60">
        <v>0</v>
      </c>
      <c r="Q29" s="54">
        <v>0</v>
      </c>
      <c r="R29" s="49">
        <v>3</v>
      </c>
      <c r="S29" s="54">
        <v>33.332999999999998</v>
      </c>
      <c r="T29" s="49">
        <v>4</v>
      </c>
      <c r="U29" s="56">
        <v>44.444400000000002</v>
      </c>
      <c r="V29" s="57">
        <v>525</v>
      </c>
      <c r="W29" s="58">
        <v>100</v>
      </c>
    </row>
    <row r="30" spans="1:23" s="22" customFormat="1" ht="15" customHeight="1" x14ac:dyDescent="0.2">
      <c r="A30" s="21" t="s">
        <v>18</v>
      </c>
      <c r="B30" s="23" t="s">
        <v>43</v>
      </c>
      <c r="C30" s="24">
        <v>32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20</v>
      </c>
      <c r="K30" s="26">
        <v>62.5</v>
      </c>
      <c r="L30" s="27">
        <v>11</v>
      </c>
      <c r="M30" s="26">
        <v>34.375</v>
      </c>
      <c r="N30" s="27">
        <v>0</v>
      </c>
      <c r="O30" s="26">
        <v>0</v>
      </c>
      <c r="P30" s="28">
        <v>1</v>
      </c>
      <c r="Q30" s="29">
        <v>3.125</v>
      </c>
      <c r="R30" s="25">
        <v>7</v>
      </c>
      <c r="S30" s="29">
        <v>21.875</v>
      </c>
      <c r="T30" s="34">
        <v>0</v>
      </c>
      <c r="U30" s="30">
        <v>0</v>
      </c>
      <c r="V30" s="31">
        <v>733</v>
      </c>
      <c r="W30" s="32">
        <v>100</v>
      </c>
    </row>
    <row r="31" spans="1:23" s="22" customFormat="1" ht="15" customHeight="1" x14ac:dyDescent="0.2">
      <c r="A31" s="21" t="s">
        <v>18</v>
      </c>
      <c r="B31" s="59" t="s">
        <v>44</v>
      </c>
      <c r="C31" s="62">
        <v>1</v>
      </c>
      <c r="D31" s="49">
        <v>0</v>
      </c>
      <c r="E31" s="50">
        <v>0</v>
      </c>
      <c r="F31" s="52">
        <v>0</v>
      </c>
      <c r="G31" s="50">
        <v>0</v>
      </c>
      <c r="H31" s="51">
        <v>0</v>
      </c>
      <c r="I31" s="50">
        <v>0</v>
      </c>
      <c r="J31" s="52">
        <v>1</v>
      </c>
      <c r="K31" s="50">
        <v>100</v>
      </c>
      <c r="L31" s="51">
        <v>0</v>
      </c>
      <c r="M31" s="50">
        <v>0</v>
      </c>
      <c r="N31" s="51">
        <v>0</v>
      </c>
      <c r="O31" s="50">
        <v>0</v>
      </c>
      <c r="P31" s="53">
        <v>0</v>
      </c>
      <c r="Q31" s="54">
        <v>0</v>
      </c>
      <c r="R31" s="49">
        <v>0</v>
      </c>
      <c r="S31" s="54">
        <v>0</v>
      </c>
      <c r="T31" s="61">
        <v>0</v>
      </c>
      <c r="U31" s="56">
        <v>0</v>
      </c>
      <c r="V31" s="57">
        <v>504</v>
      </c>
      <c r="W31" s="58">
        <v>100</v>
      </c>
    </row>
    <row r="32" spans="1:23" s="22" customFormat="1" ht="15" customHeight="1" x14ac:dyDescent="0.2">
      <c r="A32" s="21" t="s">
        <v>18</v>
      </c>
      <c r="B32" s="23" t="s">
        <v>46</v>
      </c>
      <c r="C32" s="24">
        <v>40</v>
      </c>
      <c r="D32" s="25">
        <v>0</v>
      </c>
      <c r="E32" s="26">
        <v>0</v>
      </c>
      <c r="F32" s="27">
        <v>0</v>
      </c>
      <c r="G32" s="26">
        <v>0</v>
      </c>
      <c r="H32" s="27">
        <v>4</v>
      </c>
      <c r="I32" s="26">
        <v>10</v>
      </c>
      <c r="J32" s="27">
        <v>31</v>
      </c>
      <c r="K32" s="26">
        <v>77.5</v>
      </c>
      <c r="L32" s="33">
        <v>5</v>
      </c>
      <c r="M32" s="26">
        <v>12.5</v>
      </c>
      <c r="N32" s="33">
        <v>0</v>
      </c>
      <c r="O32" s="26">
        <v>0</v>
      </c>
      <c r="P32" s="35">
        <v>0</v>
      </c>
      <c r="Q32" s="29">
        <v>0</v>
      </c>
      <c r="R32" s="34">
        <v>4</v>
      </c>
      <c r="S32" s="29">
        <v>10</v>
      </c>
      <c r="T32" s="25">
        <v>2</v>
      </c>
      <c r="U32" s="30">
        <v>5</v>
      </c>
      <c r="V32" s="31">
        <v>208</v>
      </c>
      <c r="W32" s="32">
        <v>100</v>
      </c>
    </row>
    <row r="33" spans="1:23" s="22" customFormat="1" ht="15" customHeight="1" x14ac:dyDescent="0.2">
      <c r="A33" s="21" t="s">
        <v>18</v>
      </c>
      <c r="B33" s="59" t="s">
        <v>45</v>
      </c>
      <c r="C33" s="48">
        <v>95</v>
      </c>
      <c r="D33" s="61">
        <v>0</v>
      </c>
      <c r="E33" s="50">
        <v>0</v>
      </c>
      <c r="F33" s="51">
        <v>0</v>
      </c>
      <c r="G33" s="50">
        <v>0</v>
      </c>
      <c r="H33" s="52">
        <v>4</v>
      </c>
      <c r="I33" s="50">
        <v>4.2110000000000003</v>
      </c>
      <c r="J33" s="51">
        <v>50</v>
      </c>
      <c r="K33" s="50">
        <v>52.631999999999998</v>
      </c>
      <c r="L33" s="51">
        <v>31</v>
      </c>
      <c r="M33" s="50">
        <v>32.631999999999998</v>
      </c>
      <c r="N33" s="52">
        <v>0</v>
      </c>
      <c r="O33" s="50">
        <v>0</v>
      </c>
      <c r="P33" s="60">
        <v>10</v>
      </c>
      <c r="Q33" s="54">
        <v>10.526</v>
      </c>
      <c r="R33" s="61">
        <v>22</v>
      </c>
      <c r="S33" s="54">
        <v>23.158000000000001</v>
      </c>
      <c r="T33" s="61">
        <v>0</v>
      </c>
      <c r="U33" s="56">
        <v>0</v>
      </c>
      <c r="V33" s="57">
        <v>646</v>
      </c>
      <c r="W33" s="58">
        <v>100</v>
      </c>
    </row>
    <row r="34" spans="1:23" s="22" customFormat="1" ht="15" customHeight="1" x14ac:dyDescent="0.2">
      <c r="A34" s="21" t="s">
        <v>18</v>
      </c>
      <c r="B34" s="23" t="s">
        <v>47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100</v>
      </c>
      <c r="W34" s="32">
        <v>100</v>
      </c>
    </row>
    <row r="35" spans="1:23" s="22" customFormat="1" ht="15" customHeight="1" x14ac:dyDescent="0.2">
      <c r="A35" s="21" t="s">
        <v>18</v>
      </c>
      <c r="B35" s="59" t="s">
        <v>50</v>
      </c>
      <c r="C35" s="62">
        <v>9</v>
      </c>
      <c r="D35" s="61">
        <v>0</v>
      </c>
      <c r="E35" s="50">
        <v>0</v>
      </c>
      <c r="F35" s="51">
        <v>1</v>
      </c>
      <c r="G35" s="50">
        <v>11.1111</v>
      </c>
      <c r="H35" s="52">
        <v>0</v>
      </c>
      <c r="I35" s="50">
        <v>0</v>
      </c>
      <c r="J35" s="51">
        <v>4</v>
      </c>
      <c r="K35" s="50">
        <v>44.444000000000003</v>
      </c>
      <c r="L35" s="52">
        <v>3</v>
      </c>
      <c r="M35" s="50">
        <v>33.332999999999998</v>
      </c>
      <c r="N35" s="51">
        <v>0</v>
      </c>
      <c r="O35" s="50">
        <v>0</v>
      </c>
      <c r="P35" s="60">
        <v>1</v>
      </c>
      <c r="Q35" s="54">
        <v>11.111000000000001</v>
      </c>
      <c r="R35" s="61">
        <v>0</v>
      </c>
      <c r="S35" s="54">
        <v>0</v>
      </c>
      <c r="T35" s="61">
        <v>0</v>
      </c>
      <c r="U35" s="56">
        <v>0</v>
      </c>
      <c r="V35" s="57">
        <v>398</v>
      </c>
      <c r="W35" s="58">
        <v>100</v>
      </c>
    </row>
    <row r="36" spans="1:23" s="22" customFormat="1" ht="15" customHeight="1" x14ac:dyDescent="0.2">
      <c r="A36" s="21" t="s">
        <v>18</v>
      </c>
      <c r="B36" s="23" t="s">
        <v>54</v>
      </c>
      <c r="C36" s="36">
        <v>49</v>
      </c>
      <c r="D36" s="34">
        <v>0</v>
      </c>
      <c r="E36" s="26">
        <v>0</v>
      </c>
      <c r="F36" s="27">
        <v>1</v>
      </c>
      <c r="G36" s="26">
        <v>2.0407999999999999</v>
      </c>
      <c r="H36" s="27">
        <v>16</v>
      </c>
      <c r="I36" s="26">
        <v>32.652999999999999</v>
      </c>
      <c r="J36" s="33">
        <v>13</v>
      </c>
      <c r="K36" s="26">
        <v>26.530999999999999</v>
      </c>
      <c r="L36" s="33">
        <v>15</v>
      </c>
      <c r="M36" s="26">
        <v>30.611999999999998</v>
      </c>
      <c r="N36" s="27">
        <v>0</v>
      </c>
      <c r="O36" s="26">
        <v>0</v>
      </c>
      <c r="P36" s="35">
        <v>4</v>
      </c>
      <c r="Q36" s="29">
        <v>8.1630000000000003</v>
      </c>
      <c r="R36" s="34">
        <v>28</v>
      </c>
      <c r="S36" s="29">
        <v>57.143000000000001</v>
      </c>
      <c r="T36" s="25">
        <v>1</v>
      </c>
      <c r="U36" s="30">
        <v>2.0407999999999999</v>
      </c>
      <c r="V36" s="31">
        <v>312</v>
      </c>
      <c r="W36" s="32">
        <v>100</v>
      </c>
    </row>
    <row r="37" spans="1:23" s="22" customFormat="1" ht="15" customHeight="1" x14ac:dyDescent="0.2">
      <c r="A37" s="21" t="s">
        <v>18</v>
      </c>
      <c r="B37" s="59" t="s">
        <v>51</v>
      </c>
      <c r="C37" s="48">
        <v>0</v>
      </c>
      <c r="D37" s="49">
        <v>0</v>
      </c>
      <c r="E37" s="50">
        <v>0</v>
      </c>
      <c r="F37" s="51">
        <v>0</v>
      </c>
      <c r="G37" s="50">
        <v>0</v>
      </c>
      <c r="H37" s="51">
        <v>0</v>
      </c>
      <c r="I37" s="50">
        <v>0</v>
      </c>
      <c r="J37" s="51">
        <v>0</v>
      </c>
      <c r="K37" s="50">
        <v>0</v>
      </c>
      <c r="L37" s="51">
        <v>0</v>
      </c>
      <c r="M37" s="50">
        <v>0</v>
      </c>
      <c r="N37" s="52">
        <v>0</v>
      </c>
      <c r="O37" s="50">
        <v>0</v>
      </c>
      <c r="P37" s="60">
        <v>0</v>
      </c>
      <c r="Q37" s="54">
        <v>0</v>
      </c>
      <c r="R37" s="61">
        <v>0</v>
      </c>
      <c r="S37" s="54">
        <v>0</v>
      </c>
      <c r="T37" s="49">
        <v>0</v>
      </c>
      <c r="U37" s="56">
        <v>0</v>
      </c>
      <c r="V37" s="57">
        <v>122</v>
      </c>
      <c r="W37" s="58">
        <v>100</v>
      </c>
    </row>
    <row r="38" spans="1:23" s="22" customFormat="1" ht="15" customHeight="1" x14ac:dyDescent="0.2">
      <c r="A38" s="21" t="s">
        <v>18</v>
      </c>
      <c r="B38" s="23" t="s">
        <v>52</v>
      </c>
      <c r="C38" s="24">
        <v>24</v>
      </c>
      <c r="D38" s="25">
        <v>0</v>
      </c>
      <c r="E38" s="26">
        <v>0</v>
      </c>
      <c r="F38" s="27">
        <v>0</v>
      </c>
      <c r="G38" s="26">
        <v>0</v>
      </c>
      <c r="H38" s="27">
        <v>12</v>
      </c>
      <c r="I38" s="26">
        <v>50</v>
      </c>
      <c r="J38" s="27">
        <v>10</v>
      </c>
      <c r="K38" s="26">
        <v>41.667000000000002</v>
      </c>
      <c r="L38" s="27">
        <v>2</v>
      </c>
      <c r="M38" s="26">
        <v>8.3330000000000002</v>
      </c>
      <c r="N38" s="27">
        <v>0</v>
      </c>
      <c r="O38" s="26">
        <v>0</v>
      </c>
      <c r="P38" s="28">
        <v>0</v>
      </c>
      <c r="Q38" s="29">
        <v>0</v>
      </c>
      <c r="R38" s="34">
        <v>6</v>
      </c>
      <c r="S38" s="29">
        <v>25</v>
      </c>
      <c r="T38" s="25">
        <v>4</v>
      </c>
      <c r="U38" s="30">
        <v>16.666699999999999</v>
      </c>
      <c r="V38" s="31">
        <v>802</v>
      </c>
      <c r="W38" s="32">
        <v>100</v>
      </c>
    </row>
    <row r="39" spans="1:23" s="22" customFormat="1" ht="15" customHeight="1" x14ac:dyDescent="0.2">
      <c r="A39" s="21" t="s">
        <v>18</v>
      </c>
      <c r="B39" s="59" t="s">
        <v>53</v>
      </c>
      <c r="C39" s="48">
        <v>7</v>
      </c>
      <c r="D39" s="61">
        <v>0</v>
      </c>
      <c r="E39" s="50">
        <v>0</v>
      </c>
      <c r="F39" s="51">
        <v>0</v>
      </c>
      <c r="G39" s="50">
        <v>0</v>
      </c>
      <c r="H39" s="52">
        <v>7</v>
      </c>
      <c r="I39" s="50">
        <v>100</v>
      </c>
      <c r="J39" s="51">
        <v>0</v>
      </c>
      <c r="K39" s="50">
        <v>0</v>
      </c>
      <c r="L39" s="52">
        <v>0</v>
      </c>
      <c r="M39" s="50">
        <v>0</v>
      </c>
      <c r="N39" s="51">
        <v>0</v>
      </c>
      <c r="O39" s="50">
        <v>0</v>
      </c>
      <c r="P39" s="60">
        <v>0</v>
      </c>
      <c r="Q39" s="54">
        <v>0</v>
      </c>
      <c r="R39" s="49">
        <v>1</v>
      </c>
      <c r="S39" s="54">
        <v>14.286</v>
      </c>
      <c r="T39" s="49">
        <v>0</v>
      </c>
      <c r="U39" s="56">
        <v>0</v>
      </c>
      <c r="V39" s="57">
        <v>241</v>
      </c>
      <c r="W39" s="58">
        <v>100</v>
      </c>
    </row>
    <row r="40" spans="1:23" s="22" customFormat="1" ht="15" customHeight="1" x14ac:dyDescent="0.2">
      <c r="A40" s="21" t="s">
        <v>18</v>
      </c>
      <c r="B40" s="23" t="s">
        <v>55</v>
      </c>
      <c r="C40" s="36">
        <v>51</v>
      </c>
      <c r="D40" s="25">
        <v>1</v>
      </c>
      <c r="E40" s="26">
        <v>1.9610000000000001</v>
      </c>
      <c r="F40" s="27">
        <v>0</v>
      </c>
      <c r="G40" s="26">
        <v>0</v>
      </c>
      <c r="H40" s="27">
        <v>8</v>
      </c>
      <c r="I40" s="26">
        <v>15.686</v>
      </c>
      <c r="J40" s="33">
        <v>15</v>
      </c>
      <c r="K40" s="26">
        <v>29.411999999999999</v>
      </c>
      <c r="L40" s="33">
        <v>26</v>
      </c>
      <c r="M40" s="26">
        <v>50.98</v>
      </c>
      <c r="N40" s="27">
        <v>0</v>
      </c>
      <c r="O40" s="26">
        <v>0</v>
      </c>
      <c r="P40" s="28">
        <v>1</v>
      </c>
      <c r="Q40" s="29">
        <v>1.9610000000000001</v>
      </c>
      <c r="R40" s="34">
        <v>13</v>
      </c>
      <c r="S40" s="29">
        <v>25.49</v>
      </c>
      <c r="T40" s="25">
        <v>0</v>
      </c>
      <c r="U40" s="30">
        <v>0</v>
      </c>
      <c r="V40" s="31">
        <v>1296</v>
      </c>
      <c r="W40" s="32">
        <v>100</v>
      </c>
    </row>
    <row r="41" spans="1:23" s="22" customFormat="1" ht="15" customHeight="1" x14ac:dyDescent="0.2">
      <c r="A41" s="21" t="s">
        <v>18</v>
      </c>
      <c r="B41" s="59" t="s">
        <v>48</v>
      </c>
      <c r="C41" s="48">
        <v>111</v>
      </c>
      <c r="D41" s="61">
        <v>2</v>
      </c>
      <c r="E41" s="50">
        <v>1.802</v>
      </c>
      <c r="F41" s="51">
        <v>0</v>
      </c>
      <c r="G41" s="50">
        <v>0</v>
      </c>
      <c r="H41" s="51">
        <v>11</v>
      </c>
      <c r="I41" s="50">
        <v>9.91</v>
      </c>
      <c r="J41" s="51">
        <v>63</v>
      </c>
      <c r="K41" s="50">
        <v>56.756999999999998</v>
      </c>
      <c r="L41" s="52">
        <v>29</v>
      </c>
      <c r="M41" s="50">
        <v>26.126000000000001</v>
      </c>
      <c r="N41" s="52">
        <v>0</v>
      </c>
      <c r="O41" s="50">
        <v>0</v>
      </c>
      <c r="P41" s="53">
        <v>6</v>
      </c>
      <c r="Q41" s="54">
        <v>5.4050000000000002</v>
      </c>
      <c r="R41" s="49">
        <v>29</v>
      </c>
      <c r="S41" s="54">
        <v>26.126000000000001</v>
      </c>
      <c r="T41" s="61">
        <v>2</v>
      </c>
      <c r="U41" s="56">
        <v>1.8018000000000001</v>
      </c>
      <c r="V41" s="57">
        <v>935</v>
      </c>
      <c r="W41" s="58">
        <v>100</v>
      </c>
    </row>
    <row r="42" spans="1:23" s="22" customFormat="1" ht="15" customHeight="1" x14ac:dyDescent="0.2">
      <c r="A42" s="21" t="s">
        <v>18</v>
      </c>
      <c r="B42" s="23" t="s">
        <v>49</v>
      </c>
      <c r="C42" s="36">
        <v>2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2</v>
      </c>
      <c r="M42" s="26">
        <v>100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126</v>
      </c>
      <c r="W42" s="32">
        <v>100</v>
      </c>
    </row>
    <row r="43" spans="1:23" s="22" customFormat="1" ht="15" customHeight="1" x14ac:dyDescent="0.2">
      <c r="A43" s="21" t="s">
        <v>18</v>
      </c>
      <c r="B43" s="59" t="s">
        <v>56</v>
      </c>
      <c r="C43" s="48">
        <v>41</v>
      </c>
      <c r="D43" s="49">
        <v>0</v>
      </c>
      <c r="E43" s="50">
        <v>0</v>
      </c>
      <c r="F43" s="51">
        <v>0</v>
      </c>
      <c r="G43" s="50">
        <v>0</v>
      </c>
      <c r="H43" s="52">
        <v>0</v>
      </c>
      <c r="I43" s="50">
        <v>0</v>
      </c>
      <c r="J43" s="51">
        <v>33</v>
      </c>
      <c r="K43" s="50">
        <v>80.488</v>
      </c>
      <c r="L43" s="51">
        <v>6</v>
      </c>
      <c r="M43" s="50">
        <v>14.634</v>
      </c>
      <c r="N43" s="51">
        <v>0</v>
      </c>
      <c r="O43" s="50">
        <v>0</v>
      </c>
      <c r="P43" s="53">
        <v>2</v>
      </c>
      <c r="Q43" s="54">
        <v>4.8780000000000001</v>
      </c>
      <c r="R43" s="61">
        <v>7</v>
      </c>
      <c r="S43" s="54">
        <v>17.073</v>
      </c>
      <c r="T43" s="61">
        <v>0</v>
      </c>
      <c r="U43" s="56">
        <v>0</v>
      </c>
      <c r="V43" s="57">
        <v>848</v>
      </c>
      <c r="W43" s="58">
        <v>100</v>
      </c>
    </row>
    <row r="44" spans="1:23" s="22" customFormat="1" ht="15" customHeight="1" x14ac:dyDescent="0.2">
      <c r="A44" s="21" t="s">
        <v>18</v>
      </c>
      <c r="B44" s="23" t="s">
        <v>57</v>
      </c>
      <c r="C44" s="24">
        <v>270</v>
      </c>
      <c r="D44" s="25">
        <v>21</v>
      </c>
      <c r="E44" s="26">
        <v>7.7779999999999996</v>
      </c>
      <c r="F44" s="33">
        <v>0</v>
      </c>
      <c r="G44" s="26">
        <v>0</v>
      </c>
      <c r="H44" s="27">
        <v>38</v>
      </c>
      <c r="I44" s="26">
        <v>14.074</v>
      </c>
      <c r="J44" s="27">
        <v>79</v>
      </c>
      <c r="K44" s="26">
        <v>29.259</v>
      </c>
      <c r="L44" s="27">
        <v>117</v>
      </c>
      <c r="M44" s="26">
        <v>43.332999999999998</v>
      </c>
      <c r="N44" s="33">
        <v>0</v>
      </c>
      <c r="O44" s="26">
        <v>0</v>
      </c>
      <c r="P44" s="35">
        <v>15</v>
      </c>
      <c r="Q44" s="29">
        <v>5.556</v>
      </c>
      <c r="R44" s="34">
        <v>34</v>
      </c>
      <c r="S44" s="29">
        <v>12.593</v>
      </c>
      <c r="T44" s="34">
        <v>13</v>
      </c>
      <c r="U44" s="30">
        <v>4.8148</v>
      </c>
      <c r="V44" s="31">
        <v>810</v>
      </c>
      <c r="W44" s="32">
        <v>100</v>
      </c>
    </row>
    <row r="45" spans="1:23" s="22" customFormat="1" ht="15" customHeight="1" x14ac:dyDescent="0.2">
      <c r="A45" s="21" t="s">
        <v>18</v>
      </c>
      <c r="B45" s="59" t="s">
        <v>58</v>
      </c>
      <c r="C45" s="48">
        <v>1</v>
      </c>
      <c r="D45" s="61">
        <v>0</v>
      </c>
      <c r="E45" s="50">
        <v>0</v>
      </c>
      <c r="F45" s="51">
        <v>0</v>
      </c>
      <c r="G45" s="50">
        <v>0</v>
      </c>
      <c r="H45" s="52">
        <v>0</v>
      </c>
      <c r="I45" s="50">
        <v>0</v>
      </c>
      <c r="J45" s="51">
        <v>0</v>
      </c>
      <c r="K45" s="50">
        <v>0</v>
      </c>
      <c r="L45" s="52">
        <v>0</v>
      </c>
      <c r="M45" s="50">
        <v>0</v>
      </c>
      <c r="N45" s="51">
        <v>0</v>
      </c>
      <c r="O45" s="50">
        <v>0</v>
      </c>
      <c r="P45" s="53">
        <v>1</v>
      </c>
      <c r="Q45" s="54">
        <v>100</v>
      </c>
      <c r="R45" s="49">
        <v>0</v>
      </c>
      <c r="S45" s="54">
        <v>0</v>
      </c>
      <c r="T45" s="61">
        <v>0</v>
      </c>
      <c r="U45" s="56">
        <v>0</v>
      </c>
      <c r="V45" s="57">
        <v>43</v>
      </c>
      <c r="W45" s="58">
        <v>100</v>
      </c>
    </row>
    <row r="46" spans="1:23" s="22" customFormat="1" ht="15" customHeight="1" x14ac:dyDescent="0.2">
      <c r="A46" s="21" t="s">
        <v>18</v>
      </c>
      <c r="B46" s="23" t="s">
        <v>59</v>
      </c>
      <c r="C46" s="24">
        <v>11</v>
      </c>
      <c r="D46" s="25">
        <v>0</v>
      </c>
      <c r="E46" s="26">
        <v>0</v>
      </c>
      <c r="F46" s="27">
        <v>0</v>
      </c>
      <c r="G46" s="26">
        <v>0</v>
      </c>
      <c r="H46" s="27">
        <v>4</v>
      </c>
      <c r="I46" s="26">
        <v>36.363999999999997</v>
      </c>
      <c r="J46" s="27">
        <v>5</v>
      </c>
      <c r="K46" s="26">
        <v>45.454999999999998</v>
      </c>
      <c r="L46" s="33">
        <v>2</v>
      </c>
      <c r="M46" s="26">
        <v>18.181999999999999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266</v>
      </c>
      <c r="W46" s="32">
        <v>100</v>
      </c>
    </row>
    <row r="47" spans="1:23" s="22" customFormat="1" ht="15" customHeight="1" x14ac:dyDescent="0.2">
      <c r="A47" s="21" t="s">
        <v>18</v>
      </c>
      <c r="B47" s="59" t="s">
        <v>60</v>
      </c>
      <c r="C47" s="62">
        <v>0</v>
      </c>
      <c r="D47" s="49">
        <v>0</v>
      </c>
      <c r="E47" s="50">
        <v>0</v>
      </c>
      <c r="F47" s="52">
        <v>0</v>
      </c>
      <c r="G47" s="50">
        <v>0</v>
      </c>
      <c r="H47" s="52">
        <v>0</v>
      </c>
      <c r="I47" s="50">
        <v>0</v>
      </c>
      <c r="J47" s="52">
        <v>0</v>
      </c>
      <c r="K47" s="50">
        <v>0</v>
      </c>
      <c r="L47" s="52">
        <v>0</v>
      </c>
      <c r="M47" s="50">
        <v>0</v>
      </c>
      <c r="N47" s="51">
        <v>0</v>
      </c>
      <c r="O47" s="50">
        <v>0</v>
      </c>
      <c r="P47" s="53">
        <v>0</v>
      </c>
      <c r="Q47" s="54">
        <v>0</v>
      </c>
      <c r="R47" s="61">
        <v>0</v>
      </c>
      <c r="S47" s="54">
        <v>0</v>
      </c>
      <c r="T47" s="49">
        <v>0</v>
      </c>
      <c r="U47" s="56">
        <v>0</v>
      </c>
      <c r="V47" s="57">
        <v>54</v>
      </c>
      <c r="W47" s="58">
        <v>100</v>
      </c>
    </row>
    <row r="48" spans="1:23" s="22" customFormat="1" ht="15" customHeight="1" x14ac:dyDescent="0.2">
      <c r="A48" s="21" t="s">
        <v>18</v>
      </c>
      <c r="B48" s="23" t="s">
        <v>61</v>
      </c>
      <c r="C48" s="24">
        <v>404</v>
      </c>
      <c r="D48" s="34">
        <v>3</v>
      </c>
      <c r="E48" s="26">
        <v>0.74299999999999999</v>
      </c>
      <c r="F48" s="27">
        <v>1</v>
      </c>
      <c r="G48" s="26">
        <v>0.2475</v>
      </c>
      <c r="H48" s="33">
        <v>13</v>
      </c>
      <c r="I48" s="26">
        <v>3.218</v>
      </c>
      <c r="J48" s="27">
        <v>270</v>
      </c>
      <c r="K48" s="26">
        <v>66.831999999999994</v>
      </c>
      <c r="L48" s="27">
        <v>102</v>
      </c>
      <c r="M48" s="26">
        <v>25.248000000000001</v>
      </c>
      <c r="N48" s="33">
        <v>0</v>
      </c>
      <c r="O48" s="26">
        <v>0</v>
      </c>
      <c r="P48" s="35">
        <v>15</v>
      </c>
      <c r="Q48" s="29">
        <v>3.7130000000000001</v>
      </c>
      <c r="R48" s="34">
        <v>58</v>
      </c>
      <c r="S48" s="29">
        <v>14.356</v>
      </c>
      <c r="T48" s="34">
        <v>7</v>
      </c>
      <c r="U48" s="30">
        <v>1.7326999999999999</v>
      </c>
      <c r="V48" s="31">
        <v>539</v>
      </c>
      <c r="W48" s="32">
        <v>100</v>
      </c>
    </row>
    <row r="49" spans="1:23" s="22" customFormat="1" ht="15" customHeight="1" x14ac:dyDescent="0.2">
      <c r="A49" s="21" t="s">
        <v>18</v>
      </c>
      <c r="B49" s="59" t="s">
        <v>62</v>
      </c>
      <c r="C49" s="62">
        <v>2</v>
      </c>
      <c r="D49" s="49">
        <v>0</v>
      </c>
      <c r="E49" s="50">
        <v>0</v>
      </c>
      <c r="F49" s="51">
        <v>0</v>
      </c>
      <c r="G49" s="50">
        <v>0</v>
      </c>
      <c r="H49" s="51">
        <v>0</v>
      </c>
      <c r="I49" s="50">
        <v>0</v>
      </c>
      <c r="J49" s="51">
        <v>0</v>
      </c>
      <c r="K49" s="50">
        <v>0</v>
      </c>
      <c r="L49" s="52">
        <v>2</v>
      </c>
      <c r="M49" s="50">
        <v>100</v>
      </c>
      <c r="N49" s="52">
        <v>0</v>
      </c>
      <c r="O49" s="50">
        <v>0</v>
      </c>
      <c r="P49" s="53">
        <v>0</v>
      </c>
      <c r="Q49" s="54">
        <v>0</v>
      </c>
      <c r="R49" s="61">
        <v>1</v>
      </c>
      <c r="S49" s="54">
        <v>50</v>
      </c>
      <c r="T49" s="61">
        <v>0</v>
      </c>
      <c r="U49" s="56">
        <v>0</v>
      </c>
      <c r="V49" s="57">
        <v>124</v>
      </c>
      <c r="W49" s="58">
        <v>100</v>
      </c>
    </row>
    <row r="50" spans="1:23" s="22" customFormat="1" ht="15" customHeight="1" x14ac:dyDescent="0.2">
      <c r="A50" s="21" t="s">
        <v>18</v>
      </c>
      <c r="B50" s="23" t="s">
        <v>63</v>
      </c>
      <c r="C50" s="24">
        <v>44</v>
      </c>
      <c r="D50" s="25">
        <v>0</v>
      </c>
      <c r="E50" s="26">
        <v>0</v>
      </c>
      <c r="F50" s="27">
        <v>0</v>
      </c>
      <c r="G50" s="26">
        <v>0</v>
      </c>
      <c r="H50" s="33">
        <v>1</v>
      </c>
      <c r="I50" s="26">
        <v>2.2730000000000001</v>
      </c>
      <c r="J50" s="27">
        <v>23</v>
      </c>
      <c r="K50" s="26">
        <v>52.273000000000003</v>
      </c>
      <c r="L50" s="27">
        <v>19</v>
      </c>
      <c r="M50" s="26">
        <v>43.182000000000002</v>
      </c>
      <c r="N50" s="33">
        <v>0</v>
      </c>
      <c r="O50" s="26">
        <v>0</v>
      </c>
      <c r="P50" s="35">
        <v>1</v>
      </c>
      <c r="Q50" s="29">
        <v>2.2730000000000001</v>
      </c>
      <c r="R50" s="25">
        <v>9</v>
      </c>
      <c r="S50" s="29">
        <v>20.454999999999998</v>
      </c>
      <c r="T50" s="25">
        <v>0</v>
      </c>
      <c r="U50" s="30">
        <v>0</v>
      </c>
      <c r="V50" s="31">
        <v>793</v>
      </c>
      <c r="W50" s="32">
        <v>100</v>
      </c>
    </row>
    <row r="51" spans="1:23" s="22" customFormat="1" ht="15" customHeight="1" x14ac:dyDescent="0.2">
      <c r="A51" s="21" t="s">
        <v>18</v>
      </c>
      <c r="B51" s="59" t="s">
        <v>64</v>
      </c>
      <c r="C51" s="48">
        <v>1078</v>
      </c>
      <c r="D51" s="49">
        <v>9</v>
      </c>
      <c r="E51" s="50">
        <v>0.83499999999999996</v>
      </c>
      <c r="F51" s="52">
        <v>14</v>
      </c>
      <c r="G51" s="50">
        <v>1.2987</v>
      </c>
      <c r="H51" s="51">
        <v>480</v>
      </c>
      <c r="I51" s="50">
        <v>44.527000000000001</v>
      </c>
      <c r="J51" s="51">
        <v>343</v>
      </c>
      <c r="K51" s="50">
        <v>31.818000000000001</v>
      </c>
      <c r="L51" s="51">
        <v>197</v>
      </c>
      <c r="M51" s="50">
        <v>18.274999999999999</v>
      </c>
      <c r="N51" s="52">
        <v>0</v>
      </c>
      <c r="O51" s="50">
        <v>0</v>
      </c>
      <c r="P51" s="53">
        <v>35</v>
      </c>
      <c r="Q51" s="54">
        <v>3.2469999999999999</v>
      </c>
      <c r="R51" s="49">
        <v>109</v>
      </c>
      <c r="S51" s="54">
        <v>10.111000000000001</v>
      </c>
      <c r="T51" s="49">
        <v>150</v>
      </c>
      <c r="U51" s="56">
        <v>13.9147</v>
      </c>
      <c r="V51" s="57">
        <v>3601</v>
      </c>
      <c r="W51" s="58">
        <v>100</v>
      </c>
    </row>
    <row r="52" spans="1:23" s="22" customFormat="1" ht="15" customHeight="1" x14ac:dyDescent="0.2">
      <c r="A52" s="21" t="s">
        <v>18</v>
      </c>
      <c r="B52" s="23" t="s">
        <v>65</v>
      </c>
      <c r="C52" s="24">
        <v>1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1</v>
      </c>
      <c r="M52" s="26">
        <v>100</v>
      </c>
      <c r="N52" s="33">
        <v>0</v>
      </c>
      <c r="O52" s="26">
        <v>0</v>
      </c>
      <c r="P52" s="28">
        <v>0</v>
      </c>
      <c r="Q52" s="29">
        <v>0</v>
      </c>
      <c r="R52" s="25">
        <v>1</v>
      </c>
      <c r="S52" s="29">
        <v>100</v>
      </c>
      <c r="T52" s="25">
        <v>0</v>
      </c>
      <c r="U52" s="30">
        <v>0</v>
      </c>
      <c r="V52" s="31">
        <v>293</v>
      </c>
      <c r="W52" s="32">
        <v>100</v>
      </c>
    </row>
    <row r="53" spans="1:23" s="22" customFormat="1" ht="15" customHeight="1" x14ac:dyDescent="0.2">
      <c r="A53" s="21" t="s">
        <v>18</v>
      </c>
      <c r="B53" s="59" t="s">
        <v>66</v>
      </c>
      <c r="C53" s="62">
        <v>0</v>
      </c>
      <c r="D53" s="61">
        <v>0</v>
      </c>
      <c r="E53" s="50">
        <v>0</v>
      </c>
      <c r="F53" s="51">
        <v>0</v>
      </c>
      <c r="G53" s="50">
        <v>0</v>
      </c>
      <c r="H53" s="52">
        <v>0</v>
      </c>
      <c r="I53" s="50">
        <v>0</v>
      </c>
      <c r="J53" s="51">
        <v>0</v>
      </c>
      <c r="K53" s="50">
        <v>0</v>
      </c>
      <c r="L53" s="52">
        <v>0</v>
      </c>
      <c r="M53" s="50">
        <v>0</v>
      </c>
      <c r="N53" s="52">
        <v>0</v>
      </c>
      <c r="O53" s="50">
        <v>0</v>
      </c>
      <c r="P53" s="53">
        <v>0</v>
      </c>
      <c r="Q53" s="54">
        <v>0</v>
      </c>
      <c r="R53" s="61">
        <v>0</v>
      </c>
      <c r="S53" s="54">
        <v>0</v>
      </c>
      <c r="T53" s="49">
        <v>0</v>
      </c>
      <c r="U53" s="56">
        <v>0</v>
      </c>
      <c r="V53" s="57">
        <v>163</v>
      </c>
      <c r="W53" s="58">
        <v>100</v>
      </c>
    </row>
    <row r="54" spans="1:23" s="22" customFormat="1" ht="15" customHeight="1" x14ac:dyDescent="0.2">
      <c r="A54" s="21" t="s">
        <v>18</v>
      </c>
      <c r="B54" s="23" t="s">
        <v>67</v>
      </c>
      <c r="C54" s="24">
        <v>114</v>
      </c>
      <c r="D54" s="34">
        <v>0</v>
      </c>
      <c r="E54" s="26">
        <v>0</v>
      </c>
      <c r="F54" s="27">
        <v>0</v>
      </c>
      <c r="G54" s="37">
        <v>0</v>
      </c>
      <c r="H54" s="33">
        <v>6</v>
      </c>
      <c r="I54" s="37">
        <v>5.2629999999999999</v>
      </c>
      <c r="J54" s="27">
        <v>56</v>
      </c>
      <c r="K54" s="26">
        <v>49.122999999999998</v>
      </c>
      <c r="L54" s="27">
        <v>47</v>
      </c>
      <c r="M54" s="26">
        <v>41.228000000000002</v>
      </c>
      <c r="N54" s="27">
        <v>0</v>
      </c>
      <c r="O54" s="26">
        <v>0</v>
      </c>
      <c r="P54" s="35">
        <v>5</v>
      </c>
      <c r="Q54" s="29">
        <v>4.3860000000000001</v>
      </c>
      <c r="R54" s="25">
        <v>23</v>
      </c>
      <c r="S54" s="29">
        <v>20.175000000000001</v>
      </c>
      <c r="T54" s="34">
        <v>1</v>
      </c>
      <c r="U54" s="30">
        <v>0.87719999999999998</v>
      </c>
      <c r="V54" s="31">
        <v>937</v>
      </c>
      <c r="W54" s="32">
        <v>100</v>
      </c>
    </row>
    <row r="55" spans="1:23" s="22" customFormat="1" ht="15" customHeight="1" x14ac:dyDescent="0.2">
      <c r="A55" s="21" t="s">
        <v>18</v>
      </c>
      <c r="B55" s="59" t="s">
        <v>68</v>
      </c>
      <c r="C55" s="48">
        <v>5</v>
      </c>
      <c r="D55" s="49">
        <v>0</v>
      </c>
      <c r="E55" s="50">
        <v>0</v>
      </c>
      <c r="F55" s="51">
        <v>0</v>
      </c>
      <c r="G55" s="50">
        <v>0</v>
      </c>
      <c r="H55" s="52">
        <v>2</v>
      </c>
      <c r="I55" s="50">
        <v>40</v>
      </c>
      <c r="J55" s="52">
        <v>2</v>
      </c>
      <c r="K55" s="50">
        <v>40</v>
      </c>
      <c r="L55" s="51">
        <v>1</v>
      </c>
      <c r="M55" s="50">
        <v>20</v>
      </c>
      <c r="N55" s="51">
        <v>0</v>
      </c>
      <c r="O55" s="50">
        <v>0</v>
      </c>
      <c r="P55" s="60">
        <v>0</v>
      </c>
      <c r="Q55" s="54">
        <v>0</v>
      </c>
      <c r="R55" s="49">
        <v>3</v>
      </c>
      <c r="S55" s="54">
        <v>60</v>
      </c>
      <c r="T55" s="61">
        <v>0</v>
      </c>
      <c r="U55" s="56">
        <v>0</v>
      </c>
      <c r="V55" s="57">
        <v>631</v>
      </c>
      <c r="W55" s="58">
        <v>100</v>
      </c>
    </row>
    <row r="56" spans="1:23" s="22" customFormat="1" ht="15" customHeight="1" x14ac:dyDescent="0.2">
      <c r="A56" s="21" t="s">
        <v>18</v>
      </c>
      <c r="B56" s="23" t="s">
        <v>69</v>
      </c>
      <c r="C56" s="24">
        <v>30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3</v>
      </c>
      <c r="K56" s="26">
        <v>10</v>
      </c>
      <c r="L56" s="27">
        <v>25</v>
      </c>
      <c r="M56" s="26">
        <v>83.332999999999998</v>
      </c>
      <c r="N56" s="33">
        <v>0</v>
      </c>
      <c r="O56" s="26">
        <v>0</v>
      </c>
      <c r="P56" s="28">
        <v>2</v>
      </c>
      <c r="Q56" s="29">
        <v>6.6669999999999998</v>
      </c>
      <c r="R56" s="34">
        <v>8</v>
      </c>
      <c r="S56" s="29">
        <v>26.667000000000002</v>
      </c>
      <c r="T56" s="34">
        <v>0</v>
      </c>
      <c r="U56" s="30">
        <v>0</v>
      </c>
      <c r="V56" s="31">
        <v>389</v>
      </c>
      <c r="W56" s="32">
        <v>100</v>
      </c>
    </row>
    <row r="57" spans="1:23" s="22" customFormat="1" ht="15" customHeight="1" x14ac:dyDescent="0.2">
      <c r="A57" s="21" t="s">
        <v>18</v>
      </c>
      <c r="B57" s="59" t="s">
        <v>70</v>
      </c>
      <c r="C57" s="48">
        <v>52</v>
      </c>
      <c r="D57" s="49">
        <v>2</v>
      </c>
      <c r="E57" s="50">
        <v>3.8460000000000001</v>
      </c>
      <c r="F57" s="52">
        <v>0</v>
      </c>
      <c r="G57" s="50">
        <v>0</v>
      </c>
      <c r="H57" s="51">
        <v>2</v>
      </c>
      <c r="I57" s="50">
        <v>3.8460000000000001</v>
      </c>
      <c r="J57" s="51">
        <v>28</v>
      </c>
      <c r="K57" s="50">
        <v>53.845999999999997</v>
      </c>
      <c r="L57" s="51">
        <v>19</v>
      </c>
      <c r="M57" s="50">
        <v>36.537999999999997</v>
      </c>
      <c r="N57" s="51">
        <v>0</v>
      </c>
      <c r="O57" s="50">
        <v>0</v>
      </c>
      <c r="P57" s="60">
        <v>1</v>
      </c>
      <c r="Q57" s="54">
        <v>1.923</v>
      </c>
      <c r="R57" s="61">
        <v>14</v>
      </c>
      <c r="S57" s="54">
        <v>26.922999999999998</v>
      </c>
      <c r="T57" s="61">
        <v>0</v>
      </c>
      <c r="U57" s="56">
        <v>0</v>
      </c>
      <c r="V57" s="57">
        <v>933</v>
      </c>
      <c r="W57" s="58">
        <v>100</v>
      </c>
    </row>
    <row r="58" spans="1:23" s="22" customFormat="1" ht="15" customHeight="1" thickBot="1" x14ac:dyDescent="0.25">
      <c r="A58" s="21" t="s">
        <v>18</v>
      </c>
      <c r="B58" s="63" t="s">
        <v>71</v>
      </c>
      <c r="C58" s="64">
        <v>0</v>
      </c>
      <c r="D58" s="65">
        <v>0</v>
      </c>
      <c r="E58" s="66">
        <v>0</v>
      </c>
      <c r="F58" s="67">
        <v>0</v>
      </c>
      <c r="G58" s="66">
        <v>0</v>
      </c>
      <c r="H58" s="68">
        <v>0</v>
      </c>
      <c r="I58" s="66">
        <v>0</v>
      </c>
      <c r="J58" s="67">
        <v>0</v>
      </c>
      <c r="K58" s="66">
        <v>0</v>
      </c>
      <c r="L58" s="67">
        <v>0</v>
      </c>
      <c r="M58" s="66">
        <v>0</v>
      </c>
      <c r="N58" s="67">
        <v>0</v>
      </c>
      <c r="O58" s="66">
        <v>0</v>
      </c>
      <c r="P58" s="69">
        <v>0</v>
      </c>
      <c r="Q58" s="70">
        <v>0</v>
      </c>
      <c r="R58" s="71">
        <v>0</v>
      </c>
      <c r="S58" s="70">
        <v>0</v>
      </c>
      <c r="T58" s="71">
        <v>0</v>
      </c>
      <c r="U58" s="72">
        <v>0</v>
      </c>
      <c r="V58" s="73">
        <v>25</v>
      </c>
      <c r="W58" s="74">
        <v>100</v>
      </c>
    </row>
    <row r="59" spans="1:23" s="39" customFormat="1" ht="15" customHeight="1" x14ac:dyDescent="0.2">
      <c r="A59" s="41"/>
      <c r="B59" s="4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3"/>
      <c r="U59" s="44"/>
      <c r="V59" s="38"/>
      <c r="W59" s="38"/>
    </row>
    <row r="60" spans="1:23" s="39" customFormat="1" ht="15" customHeight="1" x14ac:dyDescent="0.2">
      <c r="A60" s="41"/>
      <c r="B60" s="42" t="str">
        <f>CONCATENATE("NOTE: Table reads (for US Totals):  Of all ",IF(ISTEXT(C7),LEFT(C7,3),TEXT(C7,"#,##0"))," public school preschool male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3,433 public school preschool male students receiving one or more out-of-school suspensions, 44 (1.3%) were American Indian or Alaska Native, and 684 (19.9%) were students with disabilities served under the Individuals with Disabilities Education Act (IDEA).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43"/>
      <c r="W60" s="44"/>
    </row>
    <row r="61" spans="1:23" s="22" customFormat="1" ht="15" customHeight="1" x14ac:dyDescent="0.2">
      <c r="A61" s="21"/>
      <c r="B61" s="80" t="s">
        <v>72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39" customFormat="1" ht="14.1" customHeight="1" x14ac:dyDescent="0.2">
      <c r="B62" s="80" t="s">
        <v>73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39" customFormat="1" ht="15" customHeight="1" x14ac:dyDescent="0.2">
      <c r="A63" s="41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3"/>
      <c r="U63" s="44"/>
      <c r="V63" s="38"/>
      <c r="W63" s="38"/>
    </row>
    <row r="64" spans="1:23" s="39" customFormat="1" ht="15" customHeight="1" x14ac:dyDescent="0.2">
      <c r="A64" s="41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3"/>
      <c r="U64" s="44"/>
      <c r="V64" s="38"/>
      <c r="W64" s="38"/>
    </row>
    <row r="65" spans="1:23" s="39" customFormat="1" ht="15" customHeight="1" x14ac:dyDescent="0.2">
      <c r="A65" s="4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J5:K5"/>
    <mergeCell ref="L5:M5"/>
    <mergeCell ref="B61:W61"/>
    <mergeCell ref="B62:W62"/>
    <mergeCell ref="B4:B5"/>
    <mergeCell ref="R4:S5"/>
    <mergeCell ref="T4:U5"/>
    <mergeCell ref="V4:V5"/>
    <mergeCell ref="C4:C5"/>
    <mergeCell ref="W4:W5"/>
    <mergeCell ref="N5:O5"/>
    <mergeCell ref="P5:Q5"/>
    <mergeCell ref="D4:Q4"/>
    <mergeCell ref="D5:E5"/>
    <mergeCell ref="F5:G5"/>
    <mergeCell ref="H5:I5"/>
  </mergeCells>
  <phoneticPr fontId="20" type="noConversion"/>
  <printOptions horizontalCentered="1"/>
  <pageMargins left="0.25" right="0.25" top="1" bottom="1" header="0.5" footer="0.5"/>
  <pageSetup paperSize="3" scale="76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5"/>
  <sheetViews>
    <sheetView showGridLines="0" zoomScale="80" zoomScaleNormal="80" workbookViewId="0"/>
  </sheetViews>
  <sheetFormatPr defaultColWidth="12.1640625" defaultRowHeight="15" customHeight="1" x14ac:dyDescent="0.2"/>
  <cols>
    <col min="1" max="1" width="2.83203125" style="10" customWidth="1"/>
    <col min="2" max="2" width="21.83203125" style="1" customWidth="1"/>
    <col min="3" max="19" width="14.83203125" style="1" customWidth="1"/>
    <col min="20" max="20" width="14.83203125" style="5" customWidth="1"/>
    <col min="21" max="21" width="14.83203125" style="6" customWidth="1"/>
    <col min="22" max="23" width="14.83203125" style="1" customWidth="1"/>
    <col min="24" max="16384" width="12.1640625" style="7"/>
  </cols>
  <sheetData>
    <row r="2" spans="1:23" s="2" customFormat="1" ht="15" customHeight="1" x14ac:dyDescent="0.25">
      <c r="A2" s="9"/>
      <c r="B2" s="46" t="str">
        <f>CONCATENATE("Number and percentage of public school preschool female students ",A7, ", by race/ethnicity, disability status, and English proficiency, by state: School Year 2015-16")</f>
        <v>Number and percentage of public school preschool female students receiving one or more out-of-school suspensions, by race/ethnicity, disability status, and English proficiency, by state: School Year 2015-16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</row>
    <row r="3" spans="1:23" s="1" customFormat="1" ht="15" customHeight="1" thickBot="1" x14ac:dyDescent="0.3">
      <c r="A3" s="8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5"/>
      <c r="V3" s="4"/>
      <c r="W3" s="4"/>
    </row>
    <row r="4" spans="1:23" s="12" customFormat="1" ht="24.95" customHeight="1" x14ac:dyDescent="0.2">
      <c r="A4" s="11"/>
      <c r="B4" s="81" t="s">
        <v>0</v>
      </c>
      <c r="C4" s="83" t="s">
        <v>12</v>
      </c>
      <c r="D4" s="85" t="s">
        <v>10</v>
      </c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7"/>
      <c r="R4" s="88" t="s">
        <v>17</v>
      </c>
      <c r="S4" s="89"/>
      <c r="T4" s="88" t="s">
        <v>13</v>
      </c>
      <c r="U4" s="89"/>
      <c r="V4" s="92" t="s">
        <v>16</v>
      </c>
      <c r="W4" s="94" t="s">
        <v>14</v>
      </c>
    </row>
    <row r="5" spans="1:23" s="12" customFormat="1" ht="24.95" customHeight="1" x14ac:dyDescent="0.2">
      <c r="A5" s="11"/>
      <c r="B5" s="82"/>
      <c r="C5" s="84"/>
      <c r="D5" s="96" t="s">
        <v>1</v>
      </c>
      <c r="E5" s="78"/>
      <c r="F5" s="97" t="s">
        <v>2</v>
      </c>
      <c r="G5" s="78"/>
      <c r="H5" s="77" t="s">
        <v>3</v>
      </c>
      <c r="I5" s="78"/>
      <c r="J5" s="77" t="s">
        <v>4</v>
      </c>
      <c r="K5" s="78"/>
      <c r="L5" s="77" t="s">
        <v>5</v>
      </c>
      <c r="M5" s="78"/>
      <c r="N5" s="77" t="s">
        <v>6</v>
      </c>
      <c r="O5" s="78"/>
      <c r="P5" s="77" t="s">
        <v>7</v>
      </c>
      <c r="Q5" s="79"/>
      <c r="R5" s="90"/>
      <c r="S5" s="91"/>
      <c r="T5" s="90"/>
      <c r="U5" s="91"/>
      <c r="V5" s="93"/>
      <c r="W5" s="95"/>
    </row>
    <row r="6" spans="1:23" s="12" customFormat="1" ht="15" customHeight="1" thickBot="1" x14ac:dyDescent="0.25">
      <c r="A6" s="11"/>
      <c r="B6" s="13"/>
      <c r="C6" s="40"/>
      <c r="D6" s="14" t="s">
        <v>8</v>
      </c>
      <c r="E6" s="15" t="s">
        <v>15</v>
      </c>
      <c r="F6" s="16" t="s">
        <v>8</v>
      </c>
      <c r="G6" s="15" t="s">
        <v>15</v>
      </c>
      <c r="H6" s="16" t="s">
        <v>8</v>
      </c>
      <c r="I6" s="15" t="s">
        <v>15</v>
      </c>
      <c r="J6" s="16" t="s">
        <v>8</v>
      </c>
      <c r="K6" s="15" t="s">
        <v>15</v>
      </c>
      <c r="L6" s="16" t="s">
        <v>8</v>
      </c>
      <c r="M6" s="15" t="s">
        <v>15</v>
      </c>
      <c r="N6" s="16" t="s">
        <v>8</v>
      </c>
      <c r="O6" s="15" t="s">
        <v>15</v>
      </c>
      <c r="P6" s="16" t="s">
        <v>8</v>
      </c>
      <c r="Q6" s="17" t="s">
        <v>15</v>
      </c>
      <c r="R6" s="14" t="s">
        <v>8</v>
      </c>
      <c r="S6" s="18" t="s">
        <v>9</v>
      </c>
      <c r="T6" s="16" t="s">
        <v>8</v>
      </c>
      <c r="U6" s="18" t="s">
        <v>9</v>
      </c>
      <c r="V6" s="19"/>
      <c r="W6" s="20"/>
    </row>
    <row r="7" spans="1:23" s="22" customFormat="1" ht="15" customHeight="1" x14ac:dyDescent="0.2">
      <c r="A7" s="21" t="str">
        <f>Total!A7</f>
        <v>receiving one or more out-of-school suspensions</v>
      </c>
      <c r="B7" s="47" t="s">
        <v>11</v>
      </c>
      <c r="C7" s="48">
        <v>870</v>
      </c>
      <c r="D7" s="49">
        <v>6</v>
      </c>
      <c r="E7" s="50">
        <v>0.68966000000000005</v>
      </c>
      <c r="F7" s="51">
        <v>4</v>
      </c>
      <c r="G7" s="50">
        <v>0.45977000000000001</v>
      </c>
      <c r="H7" s="51">
        <v>139</v>
      </c>
      <c r="I7" s="50">
        <v>15.977</v>
      </c>
      <c r="J7" s="51">
        <v>465</v>
      </c>
      <c r="K7" s="50">
        <v>53.448</v>
      </c>
      <c r="L7" s="51">
        <v>220</v>
      </c>
      <c r="M7" s="50">
        <v>25.286999999999999</v>
      </c>
      <c r="N7" s="52">
        <v>0</v>
      </c>
      <c r="O7" s="50">
        <v>0</v>
      </c>
      <c r="P7" s="53">
        <v>36</v>
      </c>
      <c r="Q7" s="54">
        <v>4.1379000000000001</v>
      </c>
      <c r="R7" s="55">
        <v>90</v>
      </c>
      <c r="S7" s="54">
        <v>10.345000000000001</v>
      </c>
      <c r="T7" s="55">
        <v>39</v>
      </c>
      <c r="U7" s="56">
        <v>4.4828000000000001</v>
      </c>
      <c r="V7" s="57">
        <v>29898</v>
      </c>
      <c r="W7" s="58">
        <v>100</v>
      </c>
    </row>
    <row r="8" spans="1:23" s="22" customFormat="1" ht="15" customHeight="1" x14ac:dyDescent="0.2">
      <c r="A8" s="21" t="s">
        <v>18</v>
      </c>
      <c r="B8" s="23" t="s">
        <v>23</v>
      </c>
      <c r="C8" s="24">
        <v>6</v>
      </c>
      <c r="D8" s="25">
        <v>0</v>
      </c>
      <c r="E8" s="26">
        <v>0</v>
      </c>
      <c r="F8" s="27">
        <v>0</v>
      </c>
      <c r="G8" s="26">
        <v>0</v>
      </c>
      <c r="H8" s="33">
        <v>0</v>
      </c>
      <c r="I8" s="26">
        <v>0</v>
      </c>
      <c r="J8" s="27">
        <v>3</v>
      </c>
      <c r="K8" s="26">
        <v>50</v>
      </c>
      <c r="L8" s="27">
        <v>3</v>
      </c>
      <c r="M8" s="26">
        <v>50</v>
      </c>
      <c r="N8" s="27">
        <v>0</v>
      </c>
      <c r="O8" s="26">
        <v>0</v>
      </c>
      <c r="P8" s="35">
        <v>0</v>
      </c>
      <c r="Q8" s="29">
        <v>0</v>
      </c>
      <c r="R8" s="25">
        <v>1</v>
      </c>
      <c r="S8" s="29">
        <v>16.667000000000002</v>
      </c>
      <c r="T8" s="34">
        <v>0</v>
      </c>
      <c r="U8" s="30">
        <v>0</v>
      </c>
      <c r="V8" s="31">
        <v>446</v>
      </c>
      <c r="W8" s="32">
        <v>100</v>
      </c>
    </row>
    <row r="9" spans="1:23" s="22" customFormat="1" ht="15" customHeight="1" x14ac:dyDescent="0.2">
      <c r="A9" s="21" t="s">
        <v>18</v>
      </c>
      <c r="B9" s="59" t="s">
        <v>22</v>
      </c>
      <c r="C9" s="48">
        <v>0</v>
      </c>
      <c r="D9" s="49">
        <v>0</v>
      </c>
      <c r="E9" s="50">
        <v>0</v>
      </c>
      <c r="F9" s="51">
        <v>0</v>
      </c>
      <c r="G9" s="50">
        <v>0</v>
      </c>
      <c r="H9" s="51">
        <v>0</v>
      </c>
      <c r="I9" s="50">
        <v>0</v>
      </c>
      <c r="J9" s="52">
        <v>0</v>
      </c>
      <c r="K9" s="50">
        <v>0</v>
      </c>
      <c r="L9" s="52">
        <v>0</v>
      </c>
      <c r="M9" s="50">
        <v>0</v>
      </c>
      <c r="N9" s="51">
        <v>0</v>
      </c>
      <c r="O9" s="50">
        <v>0</v>
      </c>
      <c r="P9" s="60">
        <v>0</v>
      </c>
      <c r="Q9" s="54">
        <v>0</v>
      </c>
      <c r="R9" s="61">
        <v>0</v>
      </c>
      <c r="S9" s="54">
        <v>0</v>
      </c>
      <c r="T9" s="61">
        <v>0</v>
      </c>
      <c r="U9" s="56">
        <v>0</v>
      </c>
      <c r="V9" s="57">
        <v>205</v>
      </c>
      <c r="W9" s="58">
        <v>100</v>
      </c>
    </row>
    <row r="10" spans="1:23" s="22" customFormat="1" ht="15" customHeight="1" x14ac:dyDescent="0.2">
      <c r="A10" s="21" t="s">
        <v>18</v>
      </c>
      <c r="B10" s="23" t="s">
        <v>25</v>
      </c>
      <c r="C10" s="24">
        <v>4</v>
      </c>
      <c r="D10" s="34">
        <v>0</v>
      </c>
      <c r="E10" s="26">
        <v>0</v>
      </c>
      <c r="F10" s="27">
        <v>0</v>
      </c>
      <c r="G10" s="26">
        <v>0</v>
      </c>
      <c r="H10" s="33">
        <v>3</v>
      </c>
      <c r="I10" s="26">
        <v>75</v>
      </c>
      <c r="J10" s="27">
        <v>0</v>
      </c>
      <c r="K10" s="26">
        <v>0</v>
      </c>
      <c r="L10" s="33">
        <v>1</v>
      </c>
      <c r="M10" s="26">
        <v>25</v>
      </c>
      <c r="N10" s="33">
        <v>0</v>
      </c>
      <c r="O10" s="26">
        <v>0</v>
      </c>
      <c r="P10" s="28">
        <v>0</v>
      </c>
      <c r="Q10" s="29">
        <v>0</v>
      </c>
      <c r="R10" s="34">
        <v>1</v>
      </c>
      <c r="S10" s="29">
        <v>25</v>
      </c>
      <c r="T10" s="34">
        <v>0</v>
      </c>
      <c r="U10" s="30">
        <v>0</v>
      </c>
      <c r="V10" s="31">
        <v>459</v>
      </c>
      <c r="W10" s="32">
        <v>100</v>
      </c>
    </row>
    <row r="11" spans="1:23" s="22" customFormat="1" ht="15" customHeight="1" x14ac:dyDescent="0.2">
      <c r="A11" s="21" t="s">
        <v>18</v>
      </c>
      <c r="B11" s="59" t="s">
        <v>24</v>
      </c>
      <c r="C11" s="48">
        <v>65</v>
      </c>
      <c r="D11" s="49">
        <v>0</v>
      </c>
      <c r="E11" s="50">
        <v>0</v>
      </c>
      <c r="F11" s="52">
        <v>1</v>
      </c>
      <c r="G11" s="50">
        <v>1.5384599999999999</v>
      </c>
      <c r="H11" s="51">
        <v>5</v>
      </c>
      <c r="I11" s="50">
        <v>7.6920000000000002</v>
      </c>
      <c r="J11" s="51">
        <v>58</v>
      </c>
      <c r="K11" s="50">
        <v>89.230999999999995</v>
      </c>
      <c r="L11" s="51">
        <v>1</v>
      </c>
      <c r="M11" s="50">
        <v>1.538</v>
      </c>
      <c r="N11" s="51">
        <v>0</v>
      </c>
      <c r="O11" s="50">
        <v>0</v>
      </c>
      <c r="P11" s="60">
        <v>0</v>
      </c>
      <c r="Q11" s="54">
        <v>0</v>
      </c>
      <c r="R11" s="61">
        <v>0</v>
      </c>
      <c r="S11" s="54">
        <v>0</v>
      </c>
      <c r="T11" s="49">
        <v>0</v>
      </c>
      <c r="U11" s="56">
        <v>0</v>
      </c>
      <c r="V11" s="57">
        <v>289</v>
      </c>
      <c r="W11" s="58">
        <v>100</v>
      </c>
    </row>
    <row r="12" spans="1:23" s="22" customFormat="1" ht="15" customHeight="1" x14ac:dyDescent="0.2">
      <c r="A12" s="21" t="s">
        <v>18</v>
      </c>
      <c r="B12" s="23" t="s">
        <v>26</v>
      </c>
      <c r="C12" s="24">
        <v>2</v>
      </c>
      <c r="D12" s="25">
        <v>0</v>
      </c>
      <c r="E12" s="26">
        <v>0</v>
      </c>
      <c r="F12" s="33">
        <v>0</v>
      </c>
      <c r="G12" s="26">
        <v>0</v>
      </c>
      <c r="H12" s="27">
        <v>1</v>
      </c>
      <c r="I12" s="26">
        <v>50</v>
      </c>
      <c r="J12" s="27">
        <v>0</v>
      </c>
      <c r="K12" s="26">
        <v>0</v>
      </c>
      <c r="L12" s="27">
        <v>0</v>
      </c>
      <c r="M12" s="26">
        <v>0</v>
      </c>
      <c r="N12" s="33">
        <v>0</v>
      </c>
      <c r="O12" s="26">
        <v>0</v>
      </c>
      <c r="P12" s="35">
        <v>1</v>
      </c>
      <c r="Q12" s="29">
        <v>50</v>
      </c>
      <c r="R12" s="34">
        <v>0</v>
      </c>
      <c r="S12" s="29">
        <v>0</v>
      </c>
      <c r="T12" s="25">
        <v>0</v>
      </c>
      <c r="U12" s="30">
        <v>0</v>
      </c>
      <c r="V12" s="31">
        <v>1867</v>
      </c>
      <c r="W12" s="32">
        <v>100</v>
      </c>
    </row>
    <row r="13" spans="1:23" s="22" customFormat="1" ht="15" customHeight="1" x14ac:dyDescent="0.2">
      <c r="A13" s="21" t="s">
        <v>18</v>
      </c>
      <c r="B13" s="59" t="s">
        <v>27</v>
      </c>
      <c r="C13" s="48">
        <v>1</v>
      </c>
      <c r="D13" s="49">
        <v>0</v>
      </c>
      <c r="E13" s="50">
        <v>0</v>
      </c>
      <c r="F13" s="52">
        <v>0</v>
      </c>
      <c r="G13" s="50">
        <v>0</v>
      </c>
      <c r="H13" s="51">
        <v>1</v>
      </c>
      <c r="I13" s="50">
        <v>100</v>
      </c>
      <c r="J13" s="52">
        <v>0</v>
      </c>
      <c r="K13" s="50">
        <v>0</v>
      </c>
      <c r="L13" s="51">
        <v>0</v>
      </c>
      <c r="M13" s="50">
        <v>0</v>
      </c>
      <c r="N13" s="51">
        <v>0</v>
      </c>
      <c r="O13" s="50">
        <v>0</v>
      </c>
      <c r="P13" s="53">
        <v>0</v>
      </c>
      <c r="Q13" s="54">
        <v>0</v>
      </c>
      <c r="R13" s="49">
        <v>0</v>
      </c>
      <c r="S13" s="54">
        <v>0</v>
      </c>
      <c r="T13" s="61">
        <v>0</v>
      </c>
      <c r="U13" s="56">
        <v>0</v>
      </c>
      <c r="V13" s="57">
        <v>627</v>
      </c>
      <c r="W13" s="58">
        <v>100</v>
      </c>
    </row>
    <row r="14" spans="1:23" s="22" customFormat="1" ht="15" customHeight="1" x14ac:dyDescent="0.2">
      <c r="A14" s="21" t="s">
        <v>18</v>
      </c>
      <c r="B14" s="23" t="s">
        <v>28</v>
      </c>
      <c r="C14" s="36">
        <v>0</v>
      </c>
      <c r="D14" s="25">
        <v>0</v>
      </c>
      <c r="E14" s="26">
        <v>0</v>
      </c>
      <c r="F14" s="27">
        <v>0</v>
      </c>
      <c r="G14" s="26">
        <v>0</v>
      </c>
      <c r="H14" s="33">
        <v>0</v>
      </c>
      <c r="I14" s="26">
        <v>0</v>
      </c>
      <c r="J14" s="33">
        <v>0</v>
      </c>
      <c r="K14" s="26">
        <v>0</v>
      </c>
      <c r="L14" s="33">
        <v>0</v>
      </c>
      <c r="M14" s="26">
        <v>0</v>
      </c>
      <c r="N14" s="27">
        <v>0</v>
      </c>
      <c r="O14" s="26">
        <v>0</v>
      </c>
      <c r="P14" s="28">
        <v>0</v>
      </c>
      <c r="Q14" s="29">
        <v>0</v>
      </c>
      <c r="R14" s="34">
        <v>0</v>
      </c>
      <c r="S14" s="29">
        <v>0</v>
      </c>
      <c r="T14" s="25">
        <v>0</v>
      </c>
      <c r="U14" s="30">
        <v>0</v>
      </c>
      <c r="V14" s="31">
        <v>381</v>
      </c>
      <c r="W14" s="32">
        <v>100</v>
      </c>
    </row>
    <row r="15" spans="1:23" s="22" customFormat="1" ht="15" customHeight="1" x14ac:dyDescent="0.2">
      <c r="A15" s="21" t="s">
        <v>18</v>
      </c>
      <c r="B15" s="59" t="s">
        <v>30</v>
      </c>
      <c r="C15" s="62">
        <v>0</v>
      </c>
      <c r="D15" s="49">
        <v>0</v>
      </c>
      <c r="E15" s="50">
        <v>0</v>
      </c>
      <c r="F15" s="51">
        <v>0</v>
      </c>
      <c r="G15" s="50">
        <v>0</v>
      </c>
      <c r="H15" s="51">
        <v>0</v>
      </c>
      <c r="I15" s="50">
        <v>0</v>
      </c>
      <c r="J15" s="52">
        <v>0</v>
      </c>
      <c r="K15" s="50">
        <v>0</v>
      </c>
      <c r="L15" s="51">
        <v>0</v>
      </c>
      <c r="M15" s="50">
        <v>0</v>
      </c>
      <c r="N15" s="52">
        <v>0</v>
      </c>
      <c r="O15" s="50">
        <v>0</v>
      </c>
      <c r="P15" s="53">
        <v>0</v>
      </c>
      <c r="Q15" s="54">
        <v>0</v>
      </c>
      <c r="R15" s="61">
        <v>0</v>
      </c>
      <c r="S15" s="54">
        <v>0</v>
      </c>
      <c r="T15" s="49">
        <v>0</v>
      </c>
      <c r="U15" s="56">
        <v>0</v>
      </c>
      <c r="V15" s="57">
        <v>44</v>
      </c>
      <c r="W15" s="58">
        <v>100</v>
      </c>
    </row>
    <row r="16" spans="1:23" s="22" customFormat="1" ht="15" customHeight="1" x14ac:dyDescent="0.2">
      <c r="A16" s="21" t="s">
        <v>18</v>
      </c>
      <c r="B16" s="23" t="s">
        <v>29</v>
      </c>
      <c r="C16" s="36">
        <v>3</v>
      </c>
      <c r="D16" s="34">
        <v>0</v>
      </c>
      <c r="E16" s="26">
        <v>0</v>
      </c>
      <c r="F16" s="33">
        <v>0</v>
      </c>
      <c r="G16" s="26">
        <v>0</v>
      </c>
      <c r="H16" s="27">
        <v>0</v>
      </c>
      <c r="I16" s="26">
        <v>0</v>
      </c>
      <c r="J16" s="33">
        <v>3</v>
      </c>
      <c r="K16" s="26">
        <v>100</v>
      </c>
      <c r="L16" s="27">
        <v>0</v>
      </c>
      <c r="M16" s="26">
        <v>0</v>
      </c>
      <c r="N16" s="33">
        <v>0</v>
      </c>
      <c r="O16" s="26">
        <v>0</v>
      </c>
      <c r="P16" s="28">
        <v>0</v>
      </c>
      <c r="Q16" s="29">
        <v>0</v>
      </c>
      <c r="R16" s="25">
        <v>1</v>
      </c>
      <c r="S16" s="29">
        <v>33.332999999999998</v>
      </c>
      <c r="T16" s="25">
        <v>0</v>
      </c>
      <c r="U16" s="30">
        <v>0</v>
      </c>
      <c r="V16" s="31">
        <v>134</v>
      </c>
      <c r="W16" s="32">
        <v>100</v>
      </c>
    </row>
    <row r="17" spans="1:23" s="22" customFormat="1" ht="15" customHeight="1" x14ac:dyDescent="0.2">
      <c r="A17" s="21" t="s">
        <v>18</v>
      </c>
      <c r="B17" s="59" t="s">
        <v>31</v>
      </c>
      <c r="C17" s="48">
        <v>42</v>
      </c>
      <c r="D17" s="49">
        <v>0</v>
      </c>
      <c r="E17" s="50">
        <v>0</v>
      </c>
      <c r="F17" s="52">
        <v>0</v>
      </c>
      <c r="G17" s="50">
        <v>0</v>
      </c>
      <c r="H17" s="51">
        <v>1</v>
      </c>
      <c r="I17" s="50">
        <v>2.3809999999999998</v>
      </c>
      <c r="J17" s="52">
        <v>30</v>
      </c>
      <c r="K17" s="50">
        <v>71.429000000000002</v>
      </c>
      <c r="L17" s="52">
        <v>8</v>
      </c>
      <c r="M17" s="50">
        <v>19.047999999999998</v>
      </c>
      <c r="N17" s="52">
        <v>0</v>
      </c>
      <c r="O17" s="50">
        <v>0</v>
      </c>
      <c r="P17" s="60">
        <v>3</v>
      </c>
      <c r="Q17" s="54">
        <v>7.1429</v>
      </c>
      <c r="R17" s="49">
        <v>20</v>
      </c>
      <c r="S17" s="54">
        <v>47.619</v>
      </c>
      <c r="T17" s="49">
        <v>1</v>
      </c>
      <c r="U17" s="56">
        <v>2.3809999999999998</v>
      </c>
      <c r="V17" s="57">
        <v>1786</v>
      </c>
      <c r="W17" s="58">
        <v>100</v>
      </c>
    </row>
    <row r="18" spans="1:23" s="22" customFormat="1" ht="15" customHeight="1" x14ac:dyDescent="0.2">
      <c r="A18" s="21" t="s">
        <v>18</v>
      </c>
      <c r="B18" s="23" t="s">
        <v>32</v>
      </c>
      <c r="C18" s="24">
        <v>27</v>
      </c>
      <c r="D18" s="34">
        <v>0</v>
      </c>
      <c r="E18" s="26">
        <v>0</v>
      </c>
      <c r="F18" s="27">
        <v>0</v>
      </c>
      <c r="G18" s="26">
        <v>0</v>
      </c>
      <c r="H18" s="27">
        <v>3</v>
      </c>
      <c r="I18" s="26">
        <v>11.111000000000001</v>
      </c>
      <c r="J18" s="27">
        <v>14</v>
      </c>
      <c r="K18" s="26">
        <v>51.851999999999997</v>
      </c>
      <c r="L18" s="27">
        <v>8</v>
      </c>
      <c r="M18" s="26">
        <v>29.63</v>
      </c>
      <c r="N18" s="27">
        <v>0</v>
      </c>
      <c r="O18" s="26">
        <v>0</v>
      </c>
      <c r="P18" s="28">
        <v>2</v>
      </c>
      <c r="Q18" s="29">
        <v>7.4074</v>
      </c>
      <c r="R18" s="34">
        <v>3</v>
      </c>
      <c r="S18" s="29">
        <v>11.111000000000001</v>
      </c>
      <c r="T18" s="25">
        <v>0</v>
      </c>
      <c r="U18" s="30">
        <v>0</v>
      </c>
      <c r="V18" s="31">
        <v>1117</v>
      </c>
      <c r="W18" s="32">
        <v>100</v>
      </c>
    </row>
    <row r="19" spans="1:23" s="22" customFormat="1" ht="15" customHeight="1" x14ac:dyDescent="0.2">
      <c r="A19" s="21" t="s">
        <v>20</v>
      </c>
      <c r="B19" s="59" t="s">
        <v>21</v>
      </c>
      <c r="C19" s="48">
        <v>0</v>
      </c>
      <c r="D19" s="49">
        <v>0</v>
      </c>
      <c r="E19" s="50">
        <v>0</v>
      </c>
      <c r="F19" s="51">
        <v>0</v>
      </c>
      <c r="G19" s="50">
        <v>0</v>
      </c>
      <c r="H19" s="51">
        <v>0</v>
      </c>
      <c r="I19" s="50">
        <v>0</v>
      </c>
      <c r="J19" s="51">
        <v>0</v>
      </c>
      <c r="K19" s="50">
        <v>0</v>
      </c>
      <c r="L19" s="51">
        <v>0</v>
      </c>
      <c r="M19" s="50">
        <v>0</v>
      </c>
      <c r="N19" s="51">
        <v>0</v>
      </c>
      <c r="O19" s="50">
        <v>0</v>
      </c>
      <c r="P19" s="53">
        <v>0</v>
      </c>
      <c r="Q19" s="54">
        <v>0</v>
      </c>
      <c r="R19" s="49">
        <v>0</v>
      </c>
      <c r="S19" s="54">
        <v>0</v>
      </c>
      <c r="T19" s="49">
        <v>0</v>
      </c>
      <c r="U19" s="56">
        <v>0</v>
      </c>
      <c r="V19" s="75">
        <v>173</v>
      </c>
      <c r="W19" s="76">
        <v>100</v>
      </c>
    </row>
    <row r="20" spans="1:23" s="22" customFormat="1" ht="15" customHeight="1" x14ac:dyDescent="0.2">
      <c r="A20" s="21" t="s">
        <v>18</v>
      </c>
      <c r="B20" s="23" t="s">
        <v>34</v>
      </c>
      <c r="C20" s="36">
        <v>0</v>
      </c>
      <c r="D20" s="34">
        <v>0</v>
      </c>
      <c r="E20" s="26">
        <v>0</v>
      </c>
      <c r="F20" s="33">
        <v>0</v>
      </c>
      <c r="G20" s="26">
        <v>0</v>
      </c>
      <c r="H20" s="27">
        <v>0</v>
      </c>
      <c r="I20" s="26">
        <v>0</v>
      </c>
      <c r="J20" s="33">
        <v>0</v>
      </c>
      <c r="K20" s="26">
        <v>0</v>
      </c>
      <c r="L20" s="33">
        <v>0</v>
      </c>
      <c r="M20" s="26">
        <v>0</v>
      </c>
      <c r="N20" s="33">
        <v>0</v>
      </c>
      <c r="O20" s="26">
        <v>0</v>
      </c>
      <c r="P20" s="28">
        <v>0</v>
      </c>
      <c r="Q20" s="29">
        <v>0</v>
      </c>
      <c r="R20" s="34">
        <v>0</v>
      </c>
      <c r="S20" s="29">
        <v>0</v>
      </c>
      <c r="T20" s="25">
        <v>0</v>
      </c>
      <c r="U20" s="30">
        <v>0</v>
      </c>
      <c r="V20" s="31">
        <v>139</v>
      </c>
      <c r="W20" s="32">
        <v>100</v>
      </c>
    </row>
    <row r="21" spans="1:23" s="22" customFormat="1" ht="15" customHeight="1" x14ac:dyDescent="0.2">
      <c r="A21" s="21" t="s">
        <v>18</v>
      </c>
      <c r="B21" s="59" t="s">
        <v>35</v>
      </c>
      <c r="C21" s="48">
        <v>37</v>
      </c>
      <c r="D21" s="61">
        <v>0</v>
      </c>
      <c r="E21" s="50">
        <v>0</v>
      </c>
      <c r="F21" s="51">
        <v>0</v>
      </c>
      <c r="G21" s="50">
        <v>0</v>
      </c>
      <c r="H21" s="52">
        <v>1</v>
      </c>
      <c r="I21" s="50">
        <v>2.7029999999999998</v>
      </c>
      <c r="J21" s="51">
        <v>34</v>
      </c>
      <c r="K21" s="50">
        <v>91.891999999999996</v>
      </c>
      <c r="L21" s="51">
        <v>2</v>
      </c>
      <c r="M21" s="50">
        <v>5.4050000000000002</v>
      </c>
      <c r="N21" s="51">
        <v>0</v>
      </c>
      <c r="O21" s="50">
        <v>0</v>
      </c>
      <c r="P21" s="60">
        <v>0</v>
      </c>
      <c r="Q21" s="54">
        <v>0</v>
      </c>
      <c r="R21" s="49">
        <v>1</v>
      </c>
      <c r="S21" s="54">
        <v>2.7029999999999998</v>
      </c>
      <c r="T21" s="61">
        <v>0</v>
      </c>
      <c r="U21" s="56">
        <v>0</v>
      </c>
      <c r="V21" s="57">
        <v>1301</v>
      </c>
      <c r="W21" s="58">
        <v>100</v>
      </c>
    </row>
    <row r="22" spans="1:23" s="22" customFormat="1" ht="15" customHeight="1" x14ac:dyDescent="0.2">
      <c r="A22" s="21" t="s">
        <v>18</v>
      </c>
      <c r="B22" s="23" t="s">
        <v>36</v>
      </c>
      <c r="C22" s="24">
        <v>16</v>
      </c>
      <c r="D22" s="25">
        <v>0</v>
      </c>
      <c r="E22" s="26">
        <v>0</v>
      </c>
      <c r="F22" s="33">
        <v>1</v>
      </c>
      <c r="G22" s="26">
        <v>6.25</v>
      </c>
      <c r="H22" s="33">
        <v>0</v>
      </c>
      <c r="I22" s="26">
        <v>0</v>
      </c>
      <c r="J22" s="27">
        <v>4</v>
      </c>
      <c r="K22" s="26">
        <v>25</v>
      </c>
      <c r="L22" s="27">
        <v>4</v>
      </c>
      <c r="M22" s="26">
        <v>25</v>
      </c>
      <c r="N22" s="27">
        <v>0</v>
      </c>
      <c r="O22" s="26">
        <v>0</v>
      </c>
      <c r="P22" s="35">
        <v>7</v>
      </c>
      <c r="Q22" s="29">
        <v>43.75</v>
      </c>
      <c r="R22" s="34">
        <v>4</v>
      </c>
      <c r="S22" s="29">
        <v>25</v>
      </c>
      <c r="T22" s="34">
        <v>0</v>
      </c>
      <c r="U22" s="30">
        <v>0</v>
      </c>
      <c r="V22" s="31">
        <v>440</v>
      </c>
      <c r="W22" s="32">
        <v>100</v>
      </c>
    </row>
    <row r="23" spans="1:23" s="22" customFormat="1" ht="15" customHeight="1" x14ac:dyDescent="0.2">
      <c r="A23" s="21" t="s">
        <v>18</v>
      </c>
      <c r="B23" s="59" t="s">
        <v>33</v>
      </c>
      <c r="C23" s="48">
        <v>3</v>
      </c>
      <c r="D23" s="49">
        <v>0</v>
      </c>
      <c r="E23" s="50">
        <v>0</v>
      </c>
      <c r="F23" s="51">
        <v>0</v>
      </c>
      <c r="G23" s="50">
        <v>0</v>
      </c>
      <c r="H23" s="51">
        <v>0</v>
      </c>
      <c r="I23" s="50">
        <v>0</v>
      </c>
      <c r="J23" s="51">
        <v>1</v>
      </c>
      <c r="K23" s="50">
        <v>33.332999999999998</v>
      </c>
      <c r="L23" s="51">
        <v>2</v>
      </c>
      <c r="M23" s="50">
        <v>66.667000000000002</v>
      </c>
      <c r="N23" s="51">
        <v>0</v>
      </c>
      <c r="O23" s="50">
        <v>0</v>
      </c>
      <c r="P23" s="60">
        <v>0</v>
      </c>
      <c r="Q23" s="54">
        <v>0</v>
      </c>
      <c r="R23" s="61">
        <v>0</v>
      </c>
      <c r="S23" s="54">
        <v>0</v>
      </c>
      <c r="T23" s="49">
        <v>0</v>
      </c>
      <c r="U23" s="56">
        <v>0</v>
      </c>
      <c r="V23" s="57">
        <v>485</v>
      </c>
      <c r="W23" s="58">
        <v>100</v>
      </c>
    </row>
    <row r="24" spans="1:23" s="22" customFormat="1" ht="15" customHeight="1" x14ac:dyDescent="0.2">
      <c r="A24" s="21" t="s">
        <v>18</v>
      </c>
      <c r="B24" s="23" t="s">
        <v>37</v>
      </c>
      <c r="C24" s="24">
        <v>1</v>
      </c>
      <c r="D24" s="34">
        <v>0</v>
      </c>
      <c r="E24" s="26">
        <v>0</v>
      </c>
      <c r="F24" s="27">
        <v>0</v>
      </c>
      <c r="G24" s="26">
        <v>0</v>
      </c>
      <c r="H24" s="33">
        <v>0</v>
      </c>
      <c r="I24" s="26">
        <v>0</v>
      </c>
      <c r="J24" s="27">
        <v>1</v>
      </c>
      <c r="K24" s="26">
        <v>100</v>
      </c>
      <c r="L24" s="27">
        <v>0</v>
      </c>
      <c r="M24" s="26">
        <v>0</v>
      </c>
      <c r="N24" s="27">
        <v>0</v>
      </c>
      <c r="O24" s="26">
        <v>0</v>
      </c>
      <c r="P24" s="35">
        <v>0</v>
      </c>
      <c r="Q24" s="29">
        <v>0</v>
      </c>
      <c r="R24" s="34">
        <v>0</v>
      </c>
      <c r="S24" s="29">
        <v>0</v>
      </c>
      <c r="T24" s="25">
        <v>0</v>
      </c>
      <c r="U24" s="30">
        <v>0</v>
      </c>
      <c r="V24" s="31">
        <v>473</v>
      </c>
      <c r="W24" s="32">
        <v>100</v>
      </c>
    </row>
    <row r="25" spans="1:23" s="22" customFormat="1" ht="15" customHeight="1" x14ac:dyDescent="0.2">
      <c r="A25" s="21" t="s">
        <v>18</v>
      </c>
      <c r="B25" s="59" t="s">
        <v>38</v>
      </c>
      <c r="C25" s="62">
        <v>0</v>
      </c>
      <c r="D25" s="49">
        <v>0</v>
      </c>
      <c r="E25" s="50">
        <v>0</v>
      </c>
      <c r="F25" s="51">
        <v>0</v>
      </c>
      <c r="G25" s="50">
        <v>0</v>
      </c>
      <c r="H25" s="51">
        <v>0</v>
      </c>
      <c r="I25" s="50">
        <v>0</v>
      </c>
      <c r="J25" s="51">
        <v>0</v>
      </c>
      <c r="K25" s="50">
        <v>0</v>
      </c>
      <c r="L25" s="52">
        <v>0</v>
      </c>
      <c r="M25" s="50">
        <v>0</v>
      </c>
      <c r="N25" s="51">
        <v>0</v>
      </c>
      <c r="O25" s="50">
        <v>0</v>
      </c>
      <c r="P25" s="60">
        <v>0</v>
      </c>
      <c r="Q25" s="54">
        <v>0</v>
      </c>
      <c r="R25" s="49">
        <v>0</v>
      </c>
      <c r="S25" s="54">
        <v>0</v>
      </c>
      <c r="T25" s="49">
        <v>0</v>
      </c>
      <c r="U25" s="56">
        <v>0</v>
      </c>
      <c r="V25" s="57">
        <v>541</v>
      </c>
      <c r="W25" s="58">
        <v>100</v>
      </c>
    </row>
    <row r="26" spans="1:23" s="22" customFormat="1" ht="15" customHeight="1" x14ac:dyDescent="0.2">
      <c r="A26" s="21" t="s">
        <v>18</v>
      </c>
      <c r="B26" s="23" t="s">
        <v>39</v>
      </c>
      <c r="C26" s="24">
        <v>47</v>
      </c>
      <c r="D26" s="25">
        <v>0</v>
      </c>
      <c r="E26" s="26">
        <v>0</v>
      </c>
      <c r="F26" s="33">
        <v>0</v>
      </c>
      <c r="G26" s="26">
        <v>0</v>
      </c>
      <c r="H26" s="33">
        <v>0</v>
      </c>
      <c r="I26" s="26">
        <v>0</v>
      </c>
      <c r="J26" s="27">
        <v>32</v>
      </c>
      <c r="K26" s="26">
        <v>68.084999999999994</v>
      </c>
      <c r="L26" s="27">
        <v>13</v>
      </c>
      <c r="M26" s="26">
        <v>27.66</v>
      </c>
      <c r="N26" s="33">
        <v>0</v>
      </c>
      <c r="O26" s="26">
        <v>0</v>
      </c>
      <c r="P26" s="35">
        <v>2</v>
      </c>
      <c r="Q26" s="29">
        <v>4.2553000000000001</v>
      </c>
      <c r="R26" s="25">
        <v>4</v>
      </c>
      <c r="S26" s="29">
        <v>8.5109999999999992</v>
      </c>
      <c r="T26" s="25">
        <v>0</v>
      </c>
      <c r="U26" s="30">
        <v>0</v>
      </c>
      <c r="V26" s="31">
        <v>681</v>
      </c>
      <c r="W26" s="32">
        <v>100</v>
      </c>
    </row>
    <row r="27" spans="1:23" s="22" customFormat="1" ht="15" customHeight="1" x14ac:dyDescent="0.2">
      <c r="A27" s="21" t="s">
        <v>18</v>
      </c>
      <c r="B27" s="59" t="s">
        <v>42</v>
      </c>
      <c r="C27" s="62">
        <v>0</v>
      </c>
      <c r="D27" s="61">
        <v>0</v>
      </c>
      <c r="E27" s="50">
        <v>0</v>
      </c>
      <c r="F27" s="51">
        <v>0</v>
      </c>
      <c r="G27" s="50">
        <v>0</v>
      </c>
      <c r="H27" s="51">
        <v>0</v>
      </c>
      <c r="I27" s="50">
        <v>0</v>
      </c>
      <c r="J27" s="51">
        <v>0</v>
      </c>
      <c r="K27" s="50">
        <v>0</v>
      </c>
      <c r="L27" s="52">
        <v>0</v>
      </c>
      <c r="M27" s="50">
        <v>0</v>
      </c>
      <c r="N27" s="51">
        <v>0</v>
      </c>
      <c r="O27" s="50">
        <v>0</v>
      </c>
      <c r="P27" s="60">
        <v>0</v>
      </c>
      <c r="Q27" s="54">
        <v>0</v>
      </c>
      <c r="R27" s="61">
        <v>0</v>
      </c>
      <c r="S27" s="54">
        <v>0</v>
      </c>
      <c r="T27" s="49">
        <v>0</v>
      </c>
      <c r="U27" s="56">
        <v>0</v>
      </c>
      <c r="V27" s="57">
        <v>211</v>
      </c>
      <c r="W27" s="58">
        <v>100</v>
      </c>
    </row>
    <row r="28" spans="1:23" s="22" customFormat="1" ht="15" customHeight="1" x14ac:dyDescent="0.2">
      <c r="A28" s="21" t="s">
        <v>18</v>
      </c>
      <c r="B28" s="23" t="s">
        <v>41</v>
      </c>
      <c r="C28" s="36">
        <v>13</v>
      </c>
      <c r="D28" s="34">
        <v>0</v>
      </c>
      <c r="E28" s="26">
        <v>0</v>
      </c>
      <c r="F28" s="27">
        <v>0</v>
      </c>
      <c r="G28" s="26">
        <v>0</v>
      </c>
      <c r="H28" s="27">
        <v>1</v>
      </c>
      <c r="I28" s="26">
        <v>7.6920000000000002</v>
      </c>
      <c r="J28" s="27">
        <v>7</v>
      </c>
      <c r="K28" s="26">
        <v>53.845999999999997</v>
      </c>
      <c r="L28" s="33">
        <v>4</v>
      </c>
      <c r="M28" s="26">
        <v>30.768999999999998</v>
      </c>
      <c r="N28" s="27">
        <v>0</v>
      </c>
      <c r="O28" s="26">
        <v>0</v>
      </c>
      <c r="P28" s="28">
        <v>1</v>
      </c>
      <c r="Q28" s="29">
        <v>7.6923000000000004</v>
      </c>
      <c r="R28" s="25">
        <v>1</v>
      </c>
      <c r="S28" s="29">
        <v>7.6920000000000002</v>
      </c>
      <c r="T28" s="34">
        <v>0</v>
      </c>
      <c r="U28" s="30">
        <v>0</v>
      </c>
      <c r="V28" s="31">
        <v>702</v>
      </c>
      <c r="W28" s="32">
        <v>100</v>
      </c>
    </row>
    <row r="29" spans="1:23" s="22" customFormat="1" ht="15" customHeight="1" x14ac:dyDescent="0.2">
      <c r="A29" s="21" t="s">
        <v>18</v>
      </c>
      <c r="B29" s="59" t="s">
        <v>40</v>
      </c>
      <c r="C29" s="48">
        <v>1</v>
      </c>
      <c r="D29" s="49">
        <v>0</v>
      </c>
      <c r="E29" s="50">
        <v>0</v>
      </c>
      <c r="F29" s="51">
        <v>0</v>
      </c>
      <c r="G29" s="50">
        <v>0</v>
      </c>
      <c r="H29" s="52">
        <v>0</v>
      </c>
      <c r="I29" s="50">
        <v>0</v>
      </c>
      <c r="J29" s="51">
        <v>1</v>
      </c>
      <c r="K29" s="50">
        <v>100</v>
      </c>
      <c r="L29" s="52">
        <v>0</v>
      </c>
      <c r="M29" s="50">
        <v>0</v>
      </c>
      <c r="N29" s="51">
        <v>0</v>
      </c>
      <c r="O29" s="50">
        <v>0</v>
      </c>
      <c r="P29" s="60">
        <v>0</v>
      </c>
      <c r="Q29" s="54">
        <v>0</v>
      </c>
      <c r="R29" s="49">
        <v>0</v>
      </c>
      <c r="S29" s="54">
        <v>0</v>
      </c>
      <c r="T29" s="49">
        <v>0</v>
      </c>
      <c r="U29" s="56">
        <v>0</v>
      </c>
      <c r="V29" s="57">
        <v>525</v>
      </c>
      <c r="W29" s="58">
        <v>100</v>
      </c>
    </row>
    <row r="30" spans="1:23" s="22" customFormat="1" ht="15" customHeight="1" x14ac:dyDescent="0.2">
      <c r="A30" s="21" t="s">
        <v>18</v>
      </c>
      <c r="B30" s="23" t="s">
        <v>43</v>
      </c>
      <c r="C30" s="24">
        <v>9</v>
      </c>
      <c r="D30" s="34">
        <v>0</v>
      </c>
      <c r="E30" s="26">
        <v>0</v>
      </c>
      <c r="F30" s="33">
        <v>0</v>
      </c>
      <c r="G30" s="26">
        <v>0</v>
      </c>
      <c r="H30" s="27">
        <v>0</v>
      </c>
      <c r="I30" s="26">
        <v>0</v>
      </c>
      <c r="J30" s="27">
        <v>4</v>
      </c>
      <c r="K30" s="26">
        <v>44.444000000000003</v>
      </c>
      <c r="L30" s="27">
        <v>4</v>
      </c>
      <c r="M30" s="26">
        <v>44.444000000000003</v>
      </c>
      <c r="N30" s="27">
        <v>0</v>
      </c>
      <c r="O30" s="26">
        <v>0</v>
      </c>
      <c r="P30" s="28">
        <v>1</v>
      </c>
      <c r="Q30" s="29">
        <v>11.1111</v>
      </c>
      <c r="R30" s="25">
        <v>1</v>
      </c>
      <c r="S30" s="29">
        <v>11.111000000000001</v>
      </c>
      <c r="T30" s="34">
        <v>0</v>
      </c>
      <c r="U30" s="30">
        <v>0</v>
      </c>
      <c r="V30" s="31">
        <v>733</v>
      </c>
      <c r="W30" s="32">
        <v>100</v>
      </c>
    </row>
    <row r="31" spans="1:23" s="22" customFormat="1" ht="15" customHeight="1" x14ac:dyDescent="0.2">
      <c r="A31" s="21" t="s">
        <v>18</v>
      </c>
      <c r="B31" s="59" t="s">
        <v>44</v>
      </c>
      <c r="C31" s="62">
        <v>0</v>
      </c>
      <c r="D31" s="49">
        <v>0</v>
      </c>
      <c r="E31" s="50">
        <v>0</v>
      </c>
      <c r="F31" s="52">
        <v>0</v>
      </c>
      <c r="G31" s="50">
        <v>0</v>
      </c>
      <c r="H31" s="51">
        <v>0</v>
      </c>
      <c r="I31" s="50">
        <v>0</v>
      </c>
      <c r="J31" s="52">
        <v>0</v>
      </c>
      <c r="K31" s="50">
        <v>0</v>
      </c>
      <c r="L31" s="51">
        <v>0</v>
      </c>
      <c r="M31" s="50">
        <v>0</v>
      </c>
      <c r="N31" s="51">
        <v>0</v>
      </c>
      <c r="O31" s="50">
        <v>0</v>
      </c>
      <c r="P31" s="53">
        <v>0</v>
      </c>
      <c r="Q31" s="54">
        <v>0</v>
      </c>
      <c r="R31" s="49">
        <v>0</v>
      </c>
      <c r="S31" s="54">
        <v>0</v>
      </c>
      <c r="T31" s="61">
        <v>0</v>
      </c>
      <c r="U31" s="56">
        <v>0</v>
      </c>
      <c r="V31" s="57">
        <v>504</v>
      </c>
      <c r="W31" s="58">
        <v>100</v>
      </c>
    </row>
    <row r="32" spans="1:23" s="22" customFormat="1" ht="15" customHeight="1" x14ac:dyDescent="0.2">
      <c r="A32" s="21" t="s">
        <v>18</v>
      </c>
      <c r="B32" s="23" t="s">
        <v>46</v>
      </c>
      <c r="C32" s="24">
        <v>13</v>
      </c>
      <c r="D32" s="25">
        <v>0</v>
      </c>
      <c r="E32" s="26">
        <v>0</v>
      </c>
      <c r="F32" s="27">
        <v>0</v>
      </c>
      <c r="G32" s="26">
        <v>0</v>
      </c>
      <c r="H32" s="27">
        <v>0</v>
      </c>
      <c r="I32" s="26">
        <v>0</v>
      </c>
      <c r="J32" s="27">
        <v>11</v>
      </c>
      <c r="K32" s="26">
        <v>84.614999999999995</v>
      </c>
      <c r="L32" s="33">
        <v>2</v>
      </c>
      <c r="M32" s="26">
        <v>15.385</v>
      </c>
      <c r="N32" s="33">
        <v>0</v>
      </c>
      <c r="O32" s="26">
        <v>0</v>
      </c>
      <c r="P32" s="35">
        <v>0</v>
      </c>
      <c r="Q32" s="29">
        <v>0</v>
      </c>
      <c r="R32" s="34">
        <v>2</v>
      </c>
      <c r="S32" s="29">
        <v>15.385</v>
      </c>
      <c r="T32" s="25">
        <v>0</v>
      </c>
      <c r="U32" s="30">
        <v>0</v>
      </c>
      <c r="V32" s="31">
        <v>208</v>
      </c>
      <c r="W32" s="32">
        <v>100</v>
      </c>
    </row>
    <row r="33" spans="1:23" s="22" customFormat="1" ht="15" customHeight="1" x14ac:dyDescent="0.2">
      <c r="A33" s="21" t="s">
        <v>18</v>
      </c>
      <c r="B33" s="59" t="s">
        <v>45</v>
      </c>
      <c r="C33" s="48">
        <v>26</v>
      </c>
      <c r="D33" s="61">
        <v>0</v>
      </c>
      <c r="E33" s="50">
        <v>0</v>
      </c>
      <c r="F33" s="51">
        <v>0</v>
      </c>
      <c r="G33" s="50">
        <v>0</v>
      </c>
      <c r="H33" s="52">
        <v>1</v>
      </c>
      <c r="I33" s="50">
        <v>3.8460000000000001</v>
      </c>
      <c r="J33" s="51">
        <v>13</v>
      </c>
      <c r="K33" s="50">
        <v>50</v>
      </c>
      <c r="L33" s="51">
        <v>11</v>
      </c>
      <c r="M33" s="50">
        <v>42.308</v>
      </c>
      <c r="N33" s="52">
        <v>0</v>
      </c>
      <c r="O33" s="50">
        <v>0</v>
      </c>
      <c r="P33" s="60">
        <v>1</v>
      </c>
      <c r="Q33" s="54">
        <v>3.8462000000000001</v>
      </c>
      <c r="R33" s="61">
        <v>2</v>
      </c>
      <c r="S33" s="54">
        <v>7.6920000000000002</v>
      </c>
      <c r="T33" s="61">
        <v>0</v>
      </c>
      <c r="U33" s="56">
        <v>0</v>
      </c>
      <c r="V33" s="57">
        <v>646</v>
      </c>
      <c r="W33" s="58">
        <v>100</v>
      </c>
    </row>
    <row r="34" spans="1:23" s="22" customFormat="1" ht="15" customHeight="1" x14ac:dyDescent="0.2">
      <c r="A34" s="21" t="s">
        <v>18</v>
      </c>
      <c r="B34" s="23" t="s">
        <v>47</v>
      </c>
      <c r="C34" s="36">
        <v>0</v>
      </c>
      <c r="D34" s="25">
        <v>0</v>
      </c>
      <c r="E34" s="26">
        <v>0</v>
      </c>
      <c r="F34" s="27">
        <v>0</v>
      </c>
      <c r="G34" s="26">
        <v>0</v>
      </c>
      <c r="H34" s="33">
        <v>0</v>
      </c>
      <c r="I34" s="26">
        <v>0</v>
      </c>
      <c r="J34" s="27">
        <v>0</v>
      </c>
      <c r="K34" s="26">
        <v>0</v>
      </c>
      <c r="L34" s="33">
        <v>0</v>
      </c>
      <c r="M34" s="26">
        <v>0</v>
      </c>
      <c r="N34" s="33">
        <v>0</v>
      </c>
      <c r="O34" s="26">
        <v>0</v>
      </c>
      <c r="P34" s="28">
        <v>0</v>
      </c>
      <c r="Q34" s="29">
        <v>0</v>
      </c>
      <c r="R34" s="34">
        <v>0</v>
      </c>
      <c r="S34" s="29">
        <v>0</v>
      </c>
      <c r="T34" s="34">
        <v>0</v>
      </c>
      <c r="U34" s="30">
        <v>0</v>
      </c>
      <c r="V34" s="31">
        <v>100</v>
      </c>
      <c r="W34" s="32">
        <v>100</v>
      </c>
    </row>
    <row r="35" spans="1:23" s="22" customFormat="1" ht="15" customHeight="1" x14ac:dyDescent="0.2">
      <c r="A35" s="21" t="s">
        <v>18</v>
      </c>
      <c r="B35" s="59" t="s">
        <v>50</v>
      </c>
      <c r="C35" s="62">
        <v>0</v>
      </c>
      <c r="D35" s="61">
        <v>0</v>
      </c>
      <c r="E35" s="50">
        <v>0</v>
      </c>
      <c r="F35" s="51">
        <v>0</v>
      </c>
      <c r="G35" s="50">
        <v>0</v>
      </c>
      <c r="H35" s="52">
        <v>0</v>
      </c>
      <c r="I35" s="50">
        <v>0</v>
      </c>
      <c r="J35" s="51">
        <v>0</v>
      </c>
      <c r="K35" s="50">
        <v>0</v>
      </c>
      <c r="L35" s="52">
        <v>0</v>
      </c>
      <c r="M35" s="50">
        <v>0</v>
      </c>
      <c r="N35" s="51">
        <v>0</v>
      </c>
      <c r="O35" s="50">
        <v>0</v>
      </c>
      <c r="P35" s="60">
        <v>0</v>
      </c>
      <c r="Q35" s="54">
        <v>0</v>
      </c>
      <c r="R35" s="61">
        <v>0</v>
      </c>
      <c r="S35" s="54">
        <v>0</v>
      </c>
      <c r="T35" s="61">
        <v>0</v>
      </c>
      <c r="U35" s="56">
        <v>0</v>
      </c>
      <c r="V35" s="57">
        <v>398</v>
      </c>
      <c r="W35" s="58">
        <v>100</v>
      </c>
    </row>
    <row r="36" spans="1:23" s="22" customFormat="1" ht="15" customHeight="1" x14ac:dyDescent="0.2">
      <c r="A36" s="21" t="s">
        <v>18</v>
      </c>
      <c r="B36" s="23" t="s">
        <v>54</v>
      </c>
      <c r="C36" s="36">
        <v>15</v>
      </c>
      <c r="D36" s="34">
        <v>0</v>
      </c>
      <c r="E36" s="26">
        <v>0</v>
      </c>
      <c r="F36" s="27">
        <v>0</v>
      </c>
      <c r="G36" s="26">
        <v>0</v>
      </c>
      <c r="H36" s="27">
        <v>4</v>
      </c>
      <c r="I36" s="26">
        <v>26.667000000000002</v>
      </c>
      <c r="J36" s="33">
        <v>5</v>
      </c>
      <c r="K36" s="26">
        <v>33.332999999999998</v>
      </c>
      <c r="L36" s="33">
        <v>6</v>
      </c>
      <c r="M36" s="26">
        <v>40</v>
      </c>
      <c r="N36" s="27">
        <v>0</v>
      </c>
      <c r="O36" s="26">
        <v>0</v>
      </c>
      <c r="P36" s="35">
        <v>0</v>
      </c>
      <c r="Q36" s="29">
        <v>0</v>
      </c>
      <c r="R36" s="34">
        <v>7</v>
      </c>
      <c r="S36" s="29">
        <v>46.667000000000002</v>
      </c>
      <c r="T36" s="25">
        <v>0</v>
      </c>
      <c r="U36" s="30">
        <v>0</v>
      </c>
      <c r="V36" s="31">
        <v>312</v>
      </c>
      <c r="W36" s="32">
        <v>100</v>
      </c>
    </row>
    <row r="37" spans="1:23" s="22" customFormat="1" ht="15" customHeight="1" x14ac:dyDescent="0.2">
      <c r="A37" s="21" t="s">
        <v>18</v>
      </c>
      <c r="B37" s="59" t="s">
        <v>51</v>
      </c>
      <c r="C37" s="48">
        <v>1</v>
      </c>
      <c r="D37" s="49">
        <v>0</v>
      </c>
      <c r="E37" s="50">
        <v>0</v>
      </c>
      <c r="F37" s="51">
        <v>0</v>
      </c>
      <c r="G37" s="50">
        <v>0</v>
      </c>
      <c r="H37" s="51">
        <v>0</v>
      </c>
      <c r="I37" s="50">
        <v>0</v>
      </c>
      <c r="J37" s="51">
        <v>0</v>
      </c>
      <c r="K37" s="50">
        <v>0</v>
      </c>
      <c r="L37" s="51">
        <v>1</v>
      </c>
      <c r="M37" s="50">
        <v>100</v>
      </c>
      <c r="N37" s="52">
        <v>0</v>
      </c>
      <c r="O37" s="50">
        <v>0</v>
      </c>
      <c r="P37" s="60">
        <v>0</v>
      </c>
      <c r="Q37" s="54">
        <v>0</v>
      </c>
      <c r="R37" s="61">
        <v>1</v>
      </c>
      <c r="S37" s="54">
        <v>100</v>
      </c>
      <c r="T37" s="49">
        <v>0</v>
      </c>
      <c r="U37" s="56">
        <v>0</v>
      </c>
      <c r="V37" s="57">
        <v>122</v>
      </c>
      <c r="W37" s="58">
        <v>100</v>
      </c>
    </row>
    <row r="38" spans="1:23" s="22" customFormat="1" ht="15" customHeight="1" x14ac:dyDescent="0.2">
      <c r="A38" s="21" t="s">
        <v>18</v>
      </c>
      <c r="B38" s="23" t="s">
        <v>52</v>
      </c>
      <c r="C38" s="24">
        <v>5</v>
      </c>
      <c r="D38" s="25">
        <v>0</v>
      </c>
      <c r="E38" s="26">
        <v>0</v>
      </c>
      <c r="F38" s="27">
        <v>0</v>
      </c>
      <c r="G38" s="26">
        <v>0</v>
      </c>
      <c r="H38" s="27">
        <v>2</v>
      </c>
      <c r="I38" s="26">
        <v>40</v>
      </c>
      <c r="J38" s="27">
        <v>1</v>
      </c>
      <c r="K38" s="26">
        <v>20</v>
      </c>
      <c r="L38" s="27">
        <v>2</v>
      </c>
      <c r="M38" s="26">
        <v>40</v>
      </c>
      <c r="N38" s="27">
        <v>0</v>
      </c>
      <c r="O38" s="26">
        <v>0</v>
      </c>
      <c r="P38" s="28">
        <v>0</v>
      </c>
      <c r="Q38" s="29">
        <v>0</v>
      </c>
      <c r="R38" s="34">
        <v>1</v>
      </c>
      <c r="S38" s="29">
        <v>20</v>
      </c>
      <c r="T38" s="25">
        <v>1</v>
      </c>
      <c r="U38" s="30">
        <v>20</v>
      </c>
      <c r="V38" s="31">
        <v>802</v>
      </c>
      <c r="W38" s="32">
        <v>100</v>
      </c>
    </row>
    <row r="39" spans="1:23" s="22" customFormat="1" ht="15" customHeight="1" x14ac:dyDescent="0.2">
      <c r="A39" s="21" t="s">
        <v>18</v>
      </c>
      <c r="B39" s="59" t="s">
        <v>53</v>
      </c>
      <c r="C39" s="48">
        <v>3</v>
      </c>
      <c r="D39" s="61">
        <v>0</v>
      </c>
      <c r="E39" s="50">
        <v>0</v>
      </c>
      <c r="F39" s="51">
        <v>0</v>
      </c>
      <c r="G39" s="50">
        <v>0</v>
      </c>
      <c r="H39" s="52">
        <v>3</v>
      </c>
      <c r="I39" s="50">
        <v>100</v>
      </c>
      <c r="J39" s="51">
        <v>0</v>
      </c>
      <c r="K39" s="50">
        <v>0</v>
      </c>
      <c r="L39" s="52">
        <v>0</v>
      </c>
      <c r="M39" s="50">
        <v>0</v>
      </c>
      <c r="N39" s="51">
        <v>0</v>
      </c>
      <c r="O39" s="50">
        <v>0</v>
      </c>
      <c r="P39" s="60">
        <v>0</v>
      </c>
      <c r="Q39" s="54">
        <v>0</v>
      </c>
      <c r="R39" s="49">
        <v>0</v>
      </c>
      <c r="S39" s="54">
        <v>0</v>
      </c>
      <c r="T39" s="49">
        <v>0</v>
      </c>
      <c r="U39" s="56">
        <v>0</v>
      </c>
      <c r="V39" s="57">
        <v>241</v>
      </c>
      <c r="W39" s="58">
        <v>100</v>
      </c>
    </row>
    <row r="40" spans="1:23" s="22" customFormat="1" ht="15" customHeight="1" x14ac:dyDescent="0.2">
      <c r="A40" s="21" t="s">
        <v>18</v>
      </c>
      <c r="B40" s="23" t="s">
        <v>55</v>
      </c>
      <c r="C40" s="36">
        <v>11</v>
      </c>
      <c r="D40" s="25">
        <v>0</v>
      </c>
      <c r="E40" s="26">
        <v>0</v>
      </c>
      <c r="F40" s="27">
        <v>0</v>
      </c>
      <c r="G40" s="26">
        <v>0</v>
      </c>
      <c r="H40" s="27">
        <v>0</v>
      </c>
      <c r="I40" s="26">
        <v>0</v>
      </c>
      <c r="J40" s="33">
        <v>4</v>
      </c>
      <c r="K40" s="26">
        <v>36.363999999999997</v>
      </c>
      <c r="L40" s="33">
        <v>6</v>
      </c>
      <c r="M40" s="26">
        <v>54.545000000000002</v>
      </c>
      <c r="N40" s="27">
        <v>0</v>
      </c>
      <c r="O40" s="26">
        <v>0</v>
      </c>
      <c r="P40" s="28">
        <v>1</v>
      </c>
      <c r="Q40" s="29">
        <v>9.0908999999999995</v>
      </c>
      <c r="R40" s="34">
        <v>4</v>
      </c>
      <c r="S40" s="29">
        <v>36.363999999999997</v>
      </c>
      <c r="T40" s="25">
        <v>0</v>
      </c>
      <c r="U40" s="30">
        <v>0</v>
      </c>
      <c r="V40" s="31">
        <v>1296</v>
      </c>
      <c r="W40" s="32">
        <v>100</v>
      </c>
    </row>
    <row r="41" spans="1:23" s="22" customFormat="1" ht="15" customHeight="1" x14ac:dyDescent="0.2">
      <c r="A41" s="21" t="s">
        <v>18</v>
      </c>
      <c r="B41" s="59" t="s">
        <v>48</v>
      </c>
      <c r="C41" s="48">
        <v>29</v>
      </c>
      <c r="D41" s="61">
        <v>1</v>
      </c>
      <c r="E41" s="50">
        <v>3.44828</v>
      </c>
      <c r="F41" s="51">
        <v>1</v>
      </c>
      <c r="G41" s="50">
        <v>3.44828</v>
      </c>
      <c r="H41" s="51">
        <v>3</v>
      </c>
      <c r="I41" s="50">
        <v>10.345000000000001</v>
      </c>
      <c r="J41" s="51">
        <v>16</v>
      </c>
      <c r="K41" s="50">
        <v>55.171999999999997</v>
      </c>
      <c r="L41" s="52">
        <v>6</v>
      </c>
      <c r="M41" s="50">
        <v>20.69</v>
      </c>
      <c r="N41" s="52">
        <v>0</v>
      </c>
      <c r="O41" s="50">
        <v>0</v>
      </c>
      <c r="P41" s="53">
        <v>2</v>
      </c>
      <c r="Q41" s="54">
        <v>6.8966000000000003</v>
      </c>
      <c r="R41" s="49">
        <v>4</v>
      </c>
      <c r="S41" s="54">
        <v>13.792999999999999</v>
      </c>
      <c r="T41" s="61">
        <v>0</v>
      </c>
      <c r="U41" s="56">
        <v>0</v>
      </c>
      <c r="V41" s="57">
        <v>935</v>
      </c>
      <c r="W41" s="58">
        <v>100</v>
      </c>
    </row>
    <row r="42" spans="1:23" s="22" customFormat="1" ht="15" customHeight="1" x14ac:dyDescent="0.2">
      <c r="A42" s="21" t="s">
        <v>18</v>
      </c>
      <c r="B42" s="23" t="s">
        <v>49</v>
      </c>
      <c r="C42" s="36">
        <v>0</v>
      </c>
      <c r="D42" s="25">
        <v>0</v>
      </c>
      <c r="E42" s="26">
        <v>0</v>
      </c>
      <c r="F42" s="27">
        <v>0</v>
      </c>
      <c r="G42" s="26">
        <v>0</v>
      </c>
      <c r="H42" s="27">
        <v>0</v>
      </c>
      <c r="I42" s="26">
        <v>0</v>
      </c>
      <c r="J42" s="33">
        <v>0</v>
      </c>
      <c r="K42" s="26">
        <v>0</v>
      </c>
      <c r="L42" s="33">
        <v>0</v>
      </c>
      <c r="M42" s="26">
        <v>0</v>
      </c>
      <c r="N42" s="33">
        <v>0</v>
      </c>
      <c r="O42" s="26">
        <v>0</v>
      </c>
      <c r="P42" s="28">
        <v>0</v>
      </c>
      <c r="Q42" s="29">
        <v>0</v>
      </c>
      <c r="R42" s="34">
        <v>0</v>
      </c>
      <c r="S42" s="29">
        <v>0</v>
      </c>
      <c r="T42" s="25">
        <v>0</v>
      </c>
      <c r="U42" s="30">
        <v>0</v>
      </c>
      <c r="V42" s="31">
        <v>126</v>
      </c>
      <c r="W42" s="32">
        <v>100</v>
      </c>
    </row>
    <row r="43" spans="1:23" s="22" customFormat="1" ht="15" customHeight="1" x14ac:dyDescent="0.2">
      <c r="A43" s="21" t="s">
        <v>18</v>
      </c>
      <c r="B43" s="59" t="s">
        <v>56</v>
      </c>
      <c r="C43" s="48">
        <v>4</v>
      </c>
      <c r="D43" s="49">
        <v>0</v>
      </c>
      <c r="E43" s="50">
        <v>0</v>
      </c>
      <c r="F43" s="51">
        <v>0</v>
      </c>
      <c r="G43" s="50">
        <v>0</v>
      </c>
      <c r="H43" s="52">
        <v>0</v>
      </c>
      <c r="I43" s="50">
        <v>0</v>
      </c>
      <c r="J43" s="51">
        <v>4</v>
      </c>
      <c r="K43" s="50">
        <v>100</v>
      </c>
      <c r="L43" s="51">
        <v>0</v>
      </c>
      <c r="M43" s="50">
        <v>0</v>
      </c>
      <c r="N43" s="51">
        <v>0</v>
      </c>
      <c r="O43" s="50">
        <v>0</v>
      </c>
      <c r="P43" s="53">
        <v>0</v>
      </c>
      <c r="Q43" s="54">
        <v>0</v>
      </c>
      <c r="R43" s="61">
        <v>0</v>
      </c>
      <c r="S43" s="54">
        <v>0</v>
      </c>
      <c r="T43" s="61">
        <v>0</v>
      </c>
      <c r="U43" s="56">
        <v>0</v>
      </c>
      <c r="V43" s="57">
        <v>848</v>
      </c>
      <c r="W43" s="58">
        <v>100</v>
      </c>
    </row>
    <row r="44" spans="1:23" s="22" customFormat="1" ht="15" customHeight="1" x14ac:dyDescent="0.2">
      <c r="A44" s="21" t="s">
        <v>18</v>
      </c>
      <c r="B44" s="23" t="s">
        <v>57</v>
      </c>
      <c r="C44" s="24">
        <v>55</v>
      </c>
      <c r="D44" s="25">
        <v>4</v>
      </c>
      <c r="E44" s="26">
        <v>7.2727300000000001</v>
      </c>
      <c r="F44" s="33">
        <v>0</v>
      </c>
      <c r="G44" s="26">
        <v>0</v>
      </c>
      <c r="H44" s="27">
        <v>8</v>
      </c>
      <c r="I44" s="26">
        <v>14.545</v>
      </c>
      <c r="J44" s="27">
        <v>16</v>
      </c>
      <c r="K44" s="26">
        <v>29.091000000000001</v>
      </c>
      <c r="L44" s="27">
        <v>23</v>
      </c>
      <c r="M44" s="26">
        <v>41.817999999999998</v>
      </c>
      <c r="N44" s="33">
        <v>0</v>
      </c>
      <c r="O44" s="26">
        <v>0</v>
      </c>
      <c r="P44" s="35">
        <v>4</v>
      </c>
      <c r="Q44" s="29">
        <v>7.2727000000000004</v>
      </c>
      <c r="R44" s="34">
        <v>1</v>
      </c>
      <c r="S44" s="29">
        <v>1.8180000000000001</v>
      </c>
      <c r="T44" s="34">
        <v>2</v>
      </c>
      <c r="U44" s="30">
        <v>3.6364000000000001</v>
      </c>
      <c r="V44" s="31">
        <v>810</v>
      </c>
      <c r="W44" s="32">
        <v>100</v>
      </c>
    </row>
    <row r="45" spans="1:23" s="22" customFormat="1" ht="15" customHeight="1" x14ac:dyDescent="0.2">
      <c r="A45" s="21" t="s">
        <v>18</v>
      </c>
      <c r="B45" s="59" t="s">
        <v>58</v>
      </c>
      <c r="C45" s="48">
        <v>0</v>
      </c>
      <c r="D45" s="61">
        <v>0</v>
      </c>
      <c r="E45" s="50">
        <v>0</v>
      </c>
      <c r="F45" s="51">
        <v>0</v>
      </c>
      <c r="G45" s="50">
        <v>0</v>
      </c>
      <c r="H45" s="52">
        <v>0</v>
      </c>
      <c r="I45" s="50">
        <v>0</v>
      </c>
      <c r="J45" s="51">
        <v>0</v>
      </c>
      <c r="K45" s="50">
        <v>0</v>
      </c>
      <c r="L45" s="52">
        <v>0</v>
      </c>
      <c r="M45" s="50">
        <v>0</v>
      </c>
      <c r="N45" s="51">
        <v>0</v>
      </c>
      <c r="O45" s="50">
        <v>0</v>
      </c>
      <c r="P45" s="53">
        <v>0</v>
      </c>
      <c r="Q45" s="54">
        <v>0</v>
      </c>
      <c r="R45" s="49">
        <v>0</v>
      </c>
      <c r="S45" s="54">
        <v>0</v>
      </c>
      <c r="T45" s="61">
        <v>0</v>
      </c>
      <c r="U45" s="56">
        <v>0</v>
      </c>
      <c r="V45" s="57">
        <v>43</v>
      </c>
      <c r="W45" s="58">
        <v>100</v>
      </c>
    </row>
    <row r="46" spans="1:23" s="22" customFormat="1" ht="15" customHeight="1" x14ac:dyDescent="0.2">
      <c r="A46" s="21" t="s">
        <v>18</v>
      </c>
      <c r="B46" s="23" t="s">
        <v>59</v>
      </c>
      <c r="C46" s="24">
        <v>5</v>
      </c>
      <c r="D46" s="25">
        <v>0</v>
      </c>
      <c r="E46" s="26">
        <v>0</v>
      </c>
      <c r="F46" s="27">
        <v>0</v>
      </c>
      <c r="G46" s="26">
        <v>0</v>
      </c>
      <c r="H46" s="27">
        <v>0</v>
      </c>
      <c r="I46" s="26">
        <v>0</v>
      </c>
      <c r="J46" s="27">
        <v>1</v>
      </c>
      <c r="K46" s="26">
        <v>20</v>
      </c>
      <c r="L46" s="33">
        <v>4</v>
      </c>
      <c r="M46" s="26">
        <v>80</v>
      </c>
      <c r="N46" s="33">
        <v>0</v>
      </c>
      <c r="O46" s="26">
        <v>0</v>
      </c>
      <c r="P46" s="35">
        <v>0</v>
      </c>
      <c r="Q46" s="29">
        <v>0</v>
      </c>
      <c r="R46" s="25">
        <v>0</v>
      </c>
      <c r="S46" s="29">
        <v>0</v>
      </c>
      <c r="T46" s="25">
        <v>0</v>
      </c>
      <c r="U46" s="30">
        <v>0</v>
      </c>
      <c r="V46" s="31">
        <v>266</v>
      </c>
      <c r="W46" s="32">
        <v>100</v>
      </c>
    </row>
    <row r="47" spans="1:23" s="22" customFormat="1" ht="15" customHeight="1" x14ac:dyDescent="0.2">
      <c r="A47" s="21" t="s">
        <v>18</v>
      </c>
      <c r="B47" s="59" t="s">
        <v>60</v>
      </c>
      <c r="C47" s="62">
        <v>0</v>
      </c>
      <c r="D47" s="49">
        <v>0</v>
      </c>
      <c r="E47" s="50">
        <v>0</v>
      </c>
      <c r="F47" s="52">
        <v>0</v>
      </c>
      <c r="G47" s="50">
        <v>0</v>
      </c>
      <c r="H47" s="52">
        <v>0</v>
      </c>
      <c r="I47" s="50">
        <v>0</v>
      </c>
      <c r="J47" s="52">
        <v>0</v>
      </c>
      <c r="K47" s="50">
        <v>0</v>
      </c>
      <c r="L47" s="52">
        <v>0</v>
      </c>
      <c r="M47" s="50">
        <v>0</v>
      </c>
      <c r="N47" s="51">
        <v>0</v>
      </c>
      <c r="O47" s="50">
        <v>0</v>
      </c>
      <c r="P47" s="53">
        <v>0</v>
      </c>
      <c r="Q47" s="54">
        <v>0</v>
      </c>
      <c r="R47" s="61">
        <v>0</v>
      </c>
      <c r="S47" s="54">
        <v>0</v>
      </c>
      <c r="T47" s="49">
        <v>0</v>
      </c>
      <c r="U47" s="56">
        <v>0</v>
      </c>
      <c r="V47" s="57">
        <v>54</v>
      </c>
      <c r="W47" s="58">
        <v>100</v>
      </c>
    </row>
    <row r="48" spans="1:23" s="22" customFormat="1" ht="15" customHeight="1" x14ac:dyDescent="0.2">
      <c r="A48" s="21" t="s">
        <v>18</v>
      </c>
      <c r="B48" s="23" t="s">
        <v>61</v>
      </c>
      <c r="C48" s="24">
        <v>109</v>
      </c>
      <c r="D48" s="34">
        <v>0</v>
      </c>
      <c r="E48" s="26">
        <v>0</v>
      </c>
      <c r="F48" s="27">
        <v>0</v>
      </c>
      <c r="G48" s="26">
        <v>0</v>
      </c>
      <c r="H48" s="33">
        <v>3</v>
      </c>
      <c r="I48" s="26">
        <v>2.7519999999999998</v>
      </c>
      <c r="J48" s="27">
        <v>79</v>
      </c>
      <c r="K48" s="26">
        <v>72.477000000000004</v>
      </c>
      <c r="L48" s="27">
        <v>25</v>
      </c>
      <c r="M48" s="26">
        <v>22.936</v>
      </c>
      <c r="N48" s="33">
        <v>0</v>
      </c>
      <c r="O48" s="26">
        <v>0</v>
      </c>
      <c r="P48" s="35">
        <v>2</v>
      </c>
      <c r="Q48" s="29">
        <v>1.8349</v>
      </c>
      <c r="R48" s="34">
        <v>11</v>
      </c>
      <c r="S48" s="29">
        <v>10.092000000000001</v>
      </c>
      <c r="T48" s="34">
        <v>2</v>
      </c>
      <c r="U48" s="30">
        <v>1.8349</v>
      </c>
      <c r="V48" s="31">
        <v>539</v>
      </c>
      <c r="W48" s="32">
        <v>100</v>
      </c>
    </row>
    <row r="49" spans="1:23" s="22" customFormat="1" ht="15" customHeight="1" x14ac:dyDescent="0.2">
      <c r="A49" s="21" t="s">
        <v>18</v>
      </c>
      <c r="B49" s="59" t="s">
        <v>62</v>
      </c>
      <c r="C49" s="62">
        <v>0</v>
      </c>
      <c r="D49" s="49">
        <v>0</v>
      </c>
      <c r="E49" s="50">
        <v>0</v>
      </c>
      <c r="F49" s="51">
        <v>0</v>
      </c>
      <c r="G49" s="50">
        <v>0</v>
      </c>
      <c r="H49" s="51">
        <v>0</v>
      </c>
      <c r="I49" s="50">
        <v>0</v>
      </c>
      <c r="J49" s="51">
        <v>0</v>
      </c>
      <c r="K49" s="50">
        <v>0</v>
      </c>
      <c r="L49" s="52">
        <v>0</v>
      </c>
      <c r="M49" s="50">
        <v>0</v>
      </c>
      <c r="N49" s="52">
        <v>0</v>
      </c>
      <c r="O49" s="50">
        <v>0</v>
      </c>
      <c r="P49" s="53">
        <v>0</v>
      </c>
      <c r="Q49" s="54">
        <v>0</v>
      </c>
      <c r="R49" s="61">
        <v>0</v>
      </c>
      <c r="S49" s="54">
        <v>0</v>
      </c>
      <c r="T49" s="61">
        <v>0</v>
      </c>
      <c r="U49" s="56">
        <v>0</v>
      </c>
      <c r="V49" s="57">
        <v>124</v>
      </c>
      <c r="W49" s="58">
        <v>100</v>
      </c>
    </row>
    <row r="50" spans="1:23" s="22" customFormat="1" ht="15" customHeight="1" x14ac:dyDescent="0.2">
      <c r="A50" s="21" t="s">
        <v>18</v>
      </c>
      <c r="B50" s="23" t="s">
        <v>63</v>
      </c>
      <c r="C50" s="24">
        <v>7</v>
      </c>
      <c r="D50" s="25">
        <v>0</v>
      </c>
      <c r="E50" s="26">
        <v>0</v>
      </c>
      <c r="F50" s="27">
        <v>0</v>
      </c>
      <c r="G50" s="26">
        <v>0</v>
      </c>
      <c r="H50" s="33">
        <v>0</v>
      </c>
      <c r="I50" s="26">
        <v>0</v>
      </c>
      <c r="J50" s="27">
        <v>4</v>
      </c>
      <c r="K50" s="26">
        <v>57.143000000000001</v>
      </c>
      <c r="L50" s="27">
        <v>3</v>
      </c>
      <c r="M50" s="26">
        <v>42.856999999999999</v>
      </c>
      <c r="N50" s="33">
        <v>0</v>
      </c>
      <c r="O50" s="26">
        <v>0</v>
      </c>
      <c r="P50" s="35">
        <v>0</v>
      </c>
      <c r="Q50" s="29">
        <v>0</v>
      </c>
      <c r="R50" s="25">
        <v>1</v>
      </c>
      <c r="S50" s="29">
        <v>14.286</v>
      </c>
      <c r="T50" s="25">
        <v>0</v>
      </c>
      <c r="U50" s="30">
        <v>0</v>
      </c>
      <c r="V50" s="31">
        <v>793</v>
      </c>
      <c r="W50" s="32">
        <v>100</v>
      </c>
    </row>
    <row r="51" spans="1:23" s="22" customFormat="1" ht="15" customHeight="1" x14ac:dyDescent="0.2">
      <c r="A51" s="21" t="s">
        <v>18</v>
      </c>
      <c r="B51" s="59" t="s">
        <v>64</v>
      </c>
      <c r="C51" s="48">
        <v>264</v>
      </c>
      <c r="D51" s="49">
        <v>0</v>
      </c>
      <c r="E51" s="50">
        <v>0</v>
      </c>
      <c r="F51" s="52">
        <v>1</v>
      </c>
      <c r="G51" s="50">
        <v>0.37879000000000002</v>
      </c>
      <c r="H51" s="51">
        <v>99</v>
      </c>
      <c r="I51" s="50">
        <v>37.5</v>
      </c>
      <c r="J51" s="51">
        <v>100</v>
      </c>
      <c r="K51" s="50">
        <v>37.878999999999998</v>
      </c>
      <c r="L51" s="51">
        <v>57</v>
      </c>
      <c r="M51" s="50">
        <v>21.591000000000001</v>
      </c>
      <c r="N51" s="52">
        <v>0</v>
      </c>
      <c r="O51" s="50">
        <v>0</v>
      </c>
      <c r="P51" s="53">
        <v>7</v>
      </c>
      <c r="Q51" s="54">
        <v>2.6515</v>
      </c>
      <c r="R51" s="49">
        <v>14</v>
      </c>
      <c r="S51" s="54">
        <v>5.3029999999999999</v>
      </c>
      <c r="T51" s="49">
        <v>33</v>
      </c>
      <c r="U51" s="56">
        <v>12.5</v>
      </c>
      <c r="V51" s="57">
        <v>3601</v>
      </c>
      <c r="W51" s="58">
        <v>100</v>
      </c>
    </row>
    <row r="52" spans="1:23" s="22" customFormat="1" ht="15" customHeight="1" x14ac:dyDescent="0.2">
      <c r="A52" s="21" t="s">
        <v>18</v>
      </c>
      <c r="B52" s="23" t="s">
        <v>65</v>
      </c>
      <c r="C52" s="24">
        <v>0</v>
      </c>
      <c r="D52" s="34">
        <v>0</v>
      </c>
      <c r="E52" s="26">
        <v>0</v>
      </c>
      <c r="F52" s="27">
        <v>0</v>
      </c>
      <c r="G52" s="26">
        <v>0</v>
      </c>
      <c r="H52" s="33">
        <v>0</v>
      </c>
      <c r="I52" s="26">
        <v>0</v>
      </c>
      <c r="J52" s="33">
        <v>0</v>
      </c>
      <c r="K52" s="26">
        <v>0</v>
      </c>
      <c r="L52" s="27">
        <v>0</v>
      </c>
      <c r="M52" s="26">
        <v>0</v>
      </c>
      <c r="N52" s="33">
        <v>0</v>
      </c>
      <c r="O52" s="26">
        <v>0</v>
      </c>
      <c r="P52" s="28">
        <v>0</v>
      </c>
      <c r="Q52" s="29">
        <v>0</v>
      </c>
      <c r="R52" s="25">
        <v>0</v>
      </c>
      <c r="S52" s="29">
        <v>0</v>
      </c>
      <c r="T52" s="25">
        <v>0</v>
      </c>
      <c r="U52" s="30">
        <v>0</v>
      </c>
      <c r="V52" s="31">
        <v>293</v>
      </c>
      <c r="W52" s="32">
        <v>100</v>
      </c>
    </row>
    <row r="53" spans="1:23" s="22" customFormat="1" ht="15" customHeight="1" x14ac:dyDescent="0.2">
      <c r="A53" s="21" t="s">
        <v>18</v>
      </c>
      <c r="B53" s="59" t="s">
        <v>66</v>
      </c>
      <c r="C53" s="62">
        <v>0</v>
      </c>
      <c r="D53" s="61">
        <v>0</v>
      </c>
      <c r="E53" s="50">
        <v>0</v>
      </c>
      <c r="F53" s="51">
        <v>0</v>
      </c>
      <c r="G53" s="50">
        <v>0</v>
      </c>
      <c r="H53" s="52">
        <v>0</v>
      </c>
      <c r="I53" s="50">
        <v>0</v>
      </c>
      <c r="J53" s="51">
        <v>0</v>
      </c>
      <c r="K53" s="50">
        <v>0</v>
      </c>
      <c r="L53" s="52">
        <v>0</v>
      </c>
      <c r="M53" s="50">
        <v>0</v>
      </c>
      <c r="N53" s="52">
        <v>0</v>
      </c>
      <c r="O53" s="50">
        <v>0</v>
      </c>
      <c r="P53" s="53">
        <v>0</v>
      </c>
      <c r="Q53" s="54">
        <v>0</v>
      </c>
      <c r="R53" s="61">
        <v>0</v>
      </c>
      <c r="S53" s="54">
        <v>0</v>
      </c>
      <c r="T53" s="49">
        <v>0</v>
      </c>
      <c r="U53" s="56">
        <v>0</v>
      </c>
      <c r="V53" s="57">
        <v>163</v>
      </c>
      <c r="W53" s="58">
        <v>100</v>
      </c>
    </row>
    <row r="54" spans="1:23" s="22" customFormat="1" ht="15" customHeight="1" x14ac:dyDescent="0.2">
      <c r="A54" s="21" t="s">
        <v>18</v>
      </c>
      <c r="B54" s="23" t="s">
        <v>67</v>
      </c>
      <c r="C54" s="24">
        <v>25</v>
      </c>
      <c r="D54" s="34">
        <v>0</v>
      </c>
      <c r="E54" s="26">
        <v>0</v>
      </c>
      <c r="F54" s="27">
        <v>0</v>
      </c>
      <c r="G54" s="37">
        <v>0</v>
      </c>
      <c r="H54" s="33">
        <v>0</v>
      </c>
      <c r="I54" s="37">
        <v>0</v>
      </c>
      <c r="J54" s="27">
        <v>10</v>
      </c>
      <c r="K54" s="26">
        <v>40</v>
      </c>
      <c r="L54" s="27">
        <v>13</v>
      </c>
      <c r="M54" s="26">
        <v>52</v>
      </c>
      <c r="N54" s="27">
        <v>0</v>
      </c>
      <c r="O54" s="26">
        <v>0</v>
      </c>
      <c r="P54" s="35">
        <v>2</v>
      </c>
      <c r="Q54" s="29">
        <v>8</v>
      </c>
      <c r="R54" s="25">
        <v>4</v>
      </c>
      <c r="S54" s="29">
        <v>16</v>
      </c>
      <c r="T54" s="34">
        <v>0</v>
      </c>
      <c r="U54" s="30">
        <v>0</v>
      </c>
      <c r="V54" s="31">
        <v>937</v>
      </c>
      <c r="W54" s="32">
        <v>100</v>
      </c>
    </row>
    <row r="55" spans="1:23" s="22" customFormat="1" ht="15" customHeight="1" x14ac:dyDescent="0.2">
      <c r="A55" s="21" t="s">
        <v>18</v>
      </c>
      <c r="B55" s="59" t="s">
        <v>68</v>
      </c>
      <c r="C55" s="48">
        <v>2</v>
      </c>
      <c r="D55" s="49">
        <v>0</v>
      </c>
      <c r="E55" s="50">
        <v>0</v>
      </c>
      <c r="F55" s="51">
        <v>0</v>
      </c>
      <c r="G55" s="50">
        <v>0</v>
      </c>
      <c r="H55" s="52">
        <v>0</v>
      </c>
      <c r="I55" s="50">
        <v>0</v>
      </c>
      <c r="J55" s="52">
        <v>0</v>
      </c>
      <c r="K55" s="50">
        <v>0</v>
      </c>
      <c r="L55" s="51">
        <v>2</v>
      </c>
      <c r="M55" s="50">
        <v>100</v>
      </c>
      <c r="N55" s="51">
        <v>0</v>
      </c>
      <c r="O55" s="50">
        <v>0</v>
      </c>
      <c r="P55" s="60">
        <v>0</v>
      </c>
      <c r="Q55" s="54">
        <v>0</v>
      </c>
      <c r="R55" s="49">
        <v>0</v>
      </c>
      <c r="S55" s="54">
        <v>0</v>
      </c>
      <c r="T55" s="61">
        <v>0</v>
      </c>
      <c r="U55" s="56">
        <v>0</v>
      </c>
      <c r="V55" s="57">
        <v>631</v>
      </c>
      <c r="W55" s="58">
        <v>100</v>
      </c>
    </row>
    <row r="56" spans="1:23" s="22" customFormat="1" ht="15" customHeight="1" x14ac:dyDescent="0.2">
      <c r="A56" s="21" t="s">
        <v>18</v>
      </c>
      <c r="B56" s="23" t="s">
        <v>69</v>
      </c>
      <c r="C56" s="24">
        <v>6</v>
      </c>
      <c r="D56" s="25">
        <v>0</v>
      </c>
      <c r="E56" s="26">
        <v>0</v>
      </c>
      <c r="F56" s="27">
        <v>0</v>
      </c>
      <c r="G56" s="26">
        <v>0</v>
      </c>
      <c r="H56" s="27">
        <v>0</v>
      </c>
      <c r="I56" s="26">
        <v>0</v>
      </c>
      <c r="J56" s="33">
        <v>0</v>
      </c>
      <c r="K56" s="26">
        <v>0</v>
      </c>
      <c r="L56" s="27">
        <v>6</v>
      </c>
      <c r="M56" s="26">
        <v>100</v>
      </c>
      <c r="N56" s="33">
        <v>0</v>
      </c>
      <c r="O56" s="26">
        <v>0</v>
      </c>
      <c r="P56" s="28">
        <v>0</v>
      </c>
      <c r="Q56" s="29">
        <v>0</v>
      </c>
      <c r="R56" s="34">
        <v>1</v>
      </c>
      <c r="S56" s="29">
        <v>16.667000000000002</v>
      </c>
      <c r="T56" s="34">
        <v>0</v>
      </c>
      <c r="U56" s="30">
        <v>0</v>
      </c>
      <c r="V56" s="31">
        <v>389</v>
      </c>
      <c r="W56" s="32">
        <v>100</v>
      </c>
    </row>
    <row r="57" spans="1:23" s="22" customFormat="1" ht="15" customHeight="1" x14ac:dyDescent="0.2">
      <c r="A57" s="21" t="s">
        <v>18</v>
      </c>
      <c r="B57" s="59" t="s">
        <v>70</v>
      </c>
      <c r="C57" s="48">
        <v>13</v>
      </c>
      <c r="D57" s="49">
        <v>1</v>
      </c>
      <c r="E57" s="50">
        <v>7.69231</v>
      </c>
      <c r="F57" s="52">
        <v>0</v>
      </c>
      <c r="G57" s="50">
        <v>0</v>
      </c>
      <c r="H57" s="51">
        <v>0</v>
      </c>
      <c r="I57" s="50">
        <v>0</v>
      </c>
      <c r="J57" s="51">
        <v>9</v>
      </c>
      <c r="K57" s="50">
        <v>69.230999999999995</v>
      </c>
      <c r="L57" s="51">
        <v>3</v>
      </c>
      <c r="M57" s="50">
        <v>23.077000000000002</v>
      </c>
      <c r="N57" s="51">
        <v>0</v>
      </c>
      <c r="O57" s="50">
        <v>0</v>
      </c>
      <c r="P57" s="60">
        <v>0</v>
      </c>
      <c r="Q57" s="54">
        <v>0</v>
      </c>
      <c r="R57" s="61">
        <v>0</v>
      </c>
      <c r="S57" s="54">
        <v>0</v>
      </c>
      <c r="T57" s="61">
        <v>0</v>
      </c>
      <c r="U57" s="56">
        <v>0</v>
      </c>
      <c r="V57" s="57">
        <v>933</v>
      </c>
      <c r="W57" s="58">
        <v>100</v>
      </c>
    </row>
    <row r="58" spans="1:23" s="22" customFormat="1" ht="15" customHeight="1" thickBot="1" x14ac:dyDescent="0.25">
      <c r="A58" s="21" t="s">
        <v>18</v>
      </c>
      <c r="B58" s="63" t="s">
        <v>71</v>
      </c>
      <c r="C58" s="64">
        <v>0</v>
      </c>
      <c r="D58" s="65">
        <v>0</v>
      </c>
      <c r="E58" s="66">
        <v>0</v>
      </c>
      <c r="F58" s="67">
        <v>0</v>
      </c>
      <c r="G58" s="66">
        <v>0</v>
      </c>
      <c r="H58" s="68">
        <v>0</v>
      </c>
      <c r="I58" s="66">
        <v>0</v>
      </c>
      <c r="J58" s="67">
        <v>0</v>
      </c>
      <c r="K58" s="66">
        <v>0</v>
      </c>
      <c r="L58" s="67">
        <v>0</v>
      </c>
      <c r="M58" s="66">
        <v>0</v>
      </c>
      <c r="N58" s="67">
        <v>0</v>
      </c>
      <c r="O58" s="66">
        <v>0</v>
      </c>
      <c r="P58" s="69">
        <v>0</v>
      </c>
      <c r="Q58" s="70">
        <v>0</v>
      </c>
      <c r="R58" s="71">
        <v>0</v>
      </c>
      <c r="S58" s="70">
        <v>0</v>
      </c>
      <c r="T58" s="71">
        <v>0</v>
      </c>
      <c r="U58" s="72">
        <v>0</v>
      </c>
      <c r="V58" s="73">
        <v>25</v>
      </c>
      <c r="W58" s="74">
        <v>100</v>
      </c>
    </row>
    <row r="59" spans="1:23" s="39" customFormat="1" ht="15" customHeight="1" x14ac:dyDescent="0.2">
      <c r="A59" s="41"/>
      <c r="B59" s="4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3"/>
      <c r="U59" s="44"/>
      <c r="V59" s="38"/>
      <c r="W59" s="38"/>
    </row>
    <row r="60" spans="1:23" s="39" customFormat="1" ht="15" customHeight="1" x14ac:dyDescent="0.2">
      <c r="A60" s="41"/>
      <c r="B60" s="42" t="str">
        <f>CONCATENATE("NOTE: Table reads (for US Totals):  Of all ",IF(ISTEXT(C7),LEFT(C7,3),TEXT(C7,"#,##0"))," public school preschool female students ", A7, ", ", IF(ISTEXT(D7),LEFT(D7,3),TEXT(D7,"#,##0"))," (", TEXT(E7,"0.0"),"%) were American Indian or Alaska Native, and ",IF(ISTEXT(R7),LEFT(R7,3),TEXT(R7,"#,##0"))," (",TEXT(S7,"0.0"),"%) were students with disabilities served under the Individuals with Disabilities Education Act (IDEA).")</f>
        <v>NOTE: Table reads (for US Totals):  Of all 870 public school preschool female students receiving one or more out-of-school suspensions, 6 (0.7%) were American Indian or Alaska Native, and 90 (10.3%) were students with disabilities served under the Individuals with Disabilities Education Act (IDEA).</v>
      </c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43"/>
      <c r="W60" s="44"/>
    </row>
    <row r="61" spans="1:23" s="22" customFormat="1" ht="15" customHeight="1" x14ac:dyDescent="0.2">
      <c r="A61" s="21"/>
      <c r="B61" s="80" t="s">
        <v>72</v>
      </c>
      <c r="C61" s="80"/>
      <c r="D61" s="80"/>
      <c r="E61" s="80"/>
      <c r="F61" s="80"/>
      <c r="G61" s="80"/>
      <c r="H61" s="80"/>
      <c r="I61" s="80"/>
      <c r="J61" s="80"/>
      <c r="K61" s="80"/>
      <c r="L61" s="80"/>
      <c r="M61" s="80"/>
      <c r="N61" s="80"/>
      <c r="O61" s="80"/>
      <c r="P61" s="80"/>
      <c r="Q61" s="80"/>
      <c r="R61" s="80"/>
      <c r="S61" s="80"/>
      <c r="T61" s="80"/>
      <c r="U61" s="80"/>
      <c r="V61" s="80"/>
      <c r="W61" s="80"/>
    </row>
    <row r="62" spans="1:23" s="39" customFormat="1" ht="14.1" customHeight="1" x14ac:dyDescent="0.2">
      <c r="B62" s="80" t="s">
        <v>73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  <c r="M62" s="80"/>
      <c r="N62" s="80"/>
      <c r="O62" s="80"/>
      <c r="P62" s="80"/>
      <c r="Q62" s="80"/>
      <c r="R62" s="80"/>
      <c r="S62" s="80"/>
      <c r="T62" s="80"/>
      <c r="U62" s="80"/>
      <c r="V62" s="80"/>
      <c r="W62" s="80"/>
    </row>
    <row r="63" spans="1:23" s="39" customFormat="1" ht="15" customHeight="1" x14ac:dyDescent="0.2">
      <c r="A63" s="41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3"/>
      <c r="U63" s="44"/>
      <c r="V63" s="38"/>
      <c r="W63" s="38"/>
    </row>
    <row r="64" spans="1:23" s="39" customFormat="1" ht="15" customHeight="1" x14ac:dyDescent="0.2">
      <c r="A64" s="41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3"/>
      <c r="U64" s="44"/>
      <c r="V64" s="38"/>
      <c r="W64" s="38"/>
    </row>
    <row r="65" spans="1:23" s="39" customFormat="1" ht="15" customHeight="1" x14ac:dyDescent="0.2">
      <c r="A65" s="4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5"/>
      <c r="U65" s="6"/>
      <c r="V65" s="1"/>
      <c r="W65" s="1"/>
    </row>
  </sheetData>
  <sortState ref="A8:W58">
    <sortCondition ref="B8:B58"/>
  </sortState>
  <mergeCells count="16">
    <mergeCell ref="N5:O5"/>
    <mergeCell ref="P5:Q5"/>
    <mergeCell ref="B61:W61"/>
    <mergeCell ref="B62:W62"/>
    <mergeCell ref="B4:B5"/>
    <mergeCell ref="C4:C5"/>
    <mergeCell ref="D4:Q4"/>
    <mergeCell ref="R4:S5"/>
    <mergeCell ref="T4:U5"/>
    <mergeCell ref="V4:V5"/>
    <mergeCell ref="W4:W5"/>
    <mergeCell ref="D5:E5"/>
    <mergeCell ref="F5:G5"/>
    <mergeCell ref="H5:I5"/>
    <mergeCell ref="J5:K5"/>
    <mergeCell ref="L5:M5"/>
  </mergeCells>
  <phoneticPr fontId="20" type="noConversion"/>
  <printOptions horizontalCentered="1"/>
  <pageMargins left="0.25" right="0.25" top="1" bottom="1" header="0.5" footer="0.5"/>
  <pageSetup paperSize="3" scale="76" orientation="landscape" horizontalDpi="4294967292" verticalDpi="4294967292" r:id="rId1"/>
  <extLst>
    <ext xmlns:mx="http://schemas.microsoft.com/office/mac/excel/2008/main" uri="{64002731-A6B0-56B0-2670-7721B7C09600}">
      <mx:PLV Mode="0" OnePage="0" WScale="4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Total</vt:lpstr>
      <vt:lpstr>Male</vt:lpstr>
      <vt:lpstr>Female</vt:lpstr>
      <vt:lpstr>Female!Print_Area</vt:lpstr>
      <vt:lpstr>Male!Print_Area</vt:lpstr>
      <vt:lpstr>Total!Print_Area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for Civil Rights</dc:creator>
  <cp:lastModifiedBy>Hector Tello</cp:lastModifiedBy>
  <cp:lastPrinted>2015-09-09T00:33:04Z</cp:lastPrinted>
  <dcterms:created xsi:type="dcterms:W3CDTF">2014-03-02T22:16:30Z</dcterms:created>
  <dcterms:modified xsi:type="dcterms:W3CDTF">2020-04-25T18:34:41Z</dcterms:modified>
</cp:coreProperties>
</file>