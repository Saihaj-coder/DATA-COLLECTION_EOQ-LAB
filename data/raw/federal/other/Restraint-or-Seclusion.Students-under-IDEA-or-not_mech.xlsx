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901"/>
  <workbookPr showInkAnnotation="0" autoCompressPictures="0"/>
  <mc:AlternateContent xmlns:mc="http://schemas.openxmlformats.org/markup-compatibility/2006">
    <mc:Choice Requires="x15">
      <x15ac:absPath xmlns:x15ac="http://schemas.microsoft.com/office/spreadsheetml/2010/11/ac" url="https://usdedeop-my.sharepoint.com/personal/rosa_olmeda_ed_gov/Documents/Migrated/OCR/Contracts/2017-18 State and National Estimations/"/>
    </mc:Choice>
  </mc:AlternateContent>
  <xr:revisionPtr revIDLastSave="0" documentId="14_{DCE68090-FF1B-4638-9036-AB9DBFAF130A}" xr6:coauthVersionLast="46" xr6:coauthVersionMax="46" xr10:uidLastSave="{00000000-0000-0000-0000-000000000000}"/>
  <bookViews>
    <workbookView xWindow="-110" yWindow="-110" windowWidth="19420" windowHeight="10420" tabRatio="676" xr2:uid="{00000000-000D-0000-FFFF-FFFF00000000}"/>
  </bookViews>
  <sheets>
    <sheet name="Total" sheetId="50" r:id="rId1"/>
    <sheet name="Male" sheetId="33" r:id="rId2"/>
    <sheet name="Female" sheetId="51" r:id="rId3"/>
  </sheets>
  <definedNames>
    <definedName name="_xlnm._FilterDatabase" localSheetId="2" hidden="1">Female!$A$8:$Y$59</definedName>
    <definedName name="_xlnm._FilterDatabase" localSheetId="1" hidden="1">Male!$A$8:$Y$59</definedName>
    <definedName name="_xlnm.Print_Area" localSheetId="2">Female!$B$2:$Y$60</definedName>
    <definedName name="_xlnm.Print_Area" localSheetId="1">Male!$B$2:$Y$60</definedName>
    <definedName name="_xlnm.Print_Area" localSheetId="0">Total!$B$2:$Y$60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B2" i="50" l="1"/>
  <c r="B63" i="50"/>
  <c r="B62" i="50"/>
  <c r="A7" i="51" l="1"/>
  <c r="B2" i="51" s="1"/>
  <c r="A7" i="33"/>
  <c r="B2" i="33" s="1"/>
  <c r="B63" i="51" l="1"/>
  <c r="B62" i="51"/>
  <c r="B63" i="33"/>
  <c r="B62" i="33"/>
</calcChain>
</file>

<file path=xl/sharedStrings.xml><?xml version="1.0" encoding="utf-8"?>
<sst xmlns="http://schemas.openxmlformats.org/spreadsheetml/2006/main" count="430" uniqueCount="76">
  <si>
    <t>State</t>
  </si>
  <si>
    <t>American Indian or
Alaska Native</t>
  </si>
  <si>
    <t>Asian</t>
  </si>
  <si>
    <t>Hispanic or Latino of any race</t>
  </si>
  <si>
    <t>Black or African American</t>
  </si>
  <si>
    <t>White</t>
  </si>
  <si>
    <t>Native Hawaiian or Other Pacific Islander</t>
  </si>
  <si>
    <t>Two or more races</t>
  </si>
  <si>
    <t>Number</t>
  </si>
  <si>
    <t>Total Students</t>
  </si>
  <si>
    <t>English Language Learners</t>
  </si>
  <si>
    <t xml:space="preserve">Percent of Schools Reporting </t>
  </si>
  <si>
    <t>Percent </t>
  </si>
  <si>
    <t>Number of Schools</t>
  </si>
  <si>
    <t>enrolled in at least one Advanced Placement course</t>
  </si>
  <si>
    <t>Students With Disabilities Served Only Under Section 504</t>
  </si>
  <si>
    <t>Alaska</t>
  </si>
  <si>
    <t>Alabama</t>
  </si>
  <si>
    <t>Arkansas</t>
  </si>
  <si>
    <t>Arizona</t>
  </si>
  <si>
    <t>California</t>
  </si>
  <si>
    <t>Colorado</t>
  </si>
  <si>
    <t>Connecticut</t>
  </si>
  <si>
    <t>District of Columbia</t>
  </si>
  <si>
    <t>Delaware</t>
  </si>
  <si>
    <t>Florida</t>
  </si>
  <si>
    <t>Georgia</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</si>
  <si>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</si>
  <si>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</si>
  <si>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</si>
  <si>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</si>
  <si>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</si>
  <si>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</si>
  <si>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</si>
  <si>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</si>
  <si>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</si>
  <si>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</si>
  <si>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</si>
  <si>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</si>
  <si>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</si>
  <si>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</si>
  <si>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</si>
  <si>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</si>
  <si>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</si>
  <si>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</si>
  <si>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</si>
  <si>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</si>
  <si>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</si>
  <si>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</si>
  <si>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</si>
  <si>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</si>
  <si>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</si>
  <si>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</si>
  <si>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</si>
  <si>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</si>
  <si>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</si>
  <si>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</si>
  <si>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</si>
  <si>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</si>
  <si>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</si>
  <si>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</si>
  <si>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</si>
  <si>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</si>
  <si>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</si>
  <si>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</si>
  <si>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</si>
  <si>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</si>
  <si>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 xml:space="preserve">Students With Disabilities Served Under IDEA </t>
  </si>
  <si>
    <t>subjected to mechanical restraint</t>
  </si>
  <si>
    <t>50 states, District of Columbia, and Puerto Rico</t>
  </si>
  <si>
    <t>Puerto Rico</t>
  </si>
  <si>
    <t>SOURCE: U.S. Department of Education, Office for Civil Rights, Civil Rights Data Collection, 2017-18, available at http://ocrdata.ed.gov.</t>
  </si>
  <si>
    <t xml:space="preserve">            Data reported in this table represent 99.7% of responding schools.</t>
  </si>
  <si>
    <t>Race/Ethnicity of Students Served Under IDEA and not Served Under IDEA</t>
  </si>
  <si>
    <r>
      <t>Percent</t>
    </r>
    <r>
      <rPr>
        <b/>
        <vertAlign val="superscript"/>
        <sz val="10"/>
        <rFont val="Arial"/>
        <family val="2"/>
      </rPr>
      <t>1</t>
    </r>
  </si>
  <si>
    <r>
      <rPr>
        <vertAlign val="superscript"/>
        <sz val="10"/>
        <rFont val="Arial"/>
        <family val="2"/>
      </rPr>
      <t>1</t>
    </r>
    <r>
      <rPr>
        <sz val="10"/>
        <rFont val="Arial"/>
        <family val="2"/>
      </rPr>
      <t xml:space="preserve"> Percentage over all public school students served under the Individuals with Disabilities Education Act (IDEA) and not served under IDEA. Students not served under IDEA include students without disabilities and students with disabilities served solely under Section 504 of the Rehabilitation Act of 1973.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</si>
</sst>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_)"/>
    <numFmt numFmtId="165" formatCode="#,##0_)"/>
  </numFmts>
  <fonts count="23" x14ac:knownFonts="1">
    <font>
      <sz val="10"/>
      <color theme="1"/>
      <name val="Arial Narrow"/>
      <family val="2"/>
    </font>
    <font>
      <sz val="10"/>
      <color theme="1"/>
      <name val="Arial Narrow"/>
      <family val="2"/>
    </font>
    <font>
      <sz val="10"/>
      <color theme="1"/>
      <name val="Arial Narrow"/>
      <family val="2"/>
    </font>
    <font>
      <b/>
      <sz val="11"/>
      <color rgb="FF333399"/>
      <name val="Arial"/>
      <family val="2"/>
    </font>
    <font>
      <sz val="11"/>
      <color rgb="FF333399"/>
      <name val="Arial"/>
      <family val="2"/>
    </font>
    <font>
      <sz val="11"/>
      <color theme="1"/>
      <name val="Calibri"/>
      <family val="2"/>
      <scheme val="minor"/>
    </font>
    <font>
      <sz val="11"/>
      <color theme="1"/>
      <name val="Arial"/>
      <family val="2"/>
    </font>
    <font>
      <b/>
      <sz val="14"/>
      <color rgb="FF333399"/>
      <name val="Arial"/>
      <family val="2"/>
    </font>
    <font>
      <sz val="14"/>
      <color theme="1"/>
      <name val="Arial"/>
      <family val="2"/>
    </font>
    <font>
      <sz val="10"/>
      <name val="MS Sans Serif"/>
      <family val="2"/>
    </font>
    <font>
      <sz val="11"/>
      <name val="Arial"/>
      <family val="2"/>
    </font>
    <font>
      <u/>
      <sz val="10"/>
      <color theme="10"/>
      <name val="Arial Narrow"/>
      <family val="2"/>
    </font>
    <font>
      <u/>
      <sz val="10"/>
      <color theme="11"/>
      <name val="Arial Narrow"/>
      <family val="2"/>
    </font>
    <font>
      <sz val="11"/>
      <color theme="0"/>
      <name val="Arial"/>
      <family val="2"/>
    </font>
    <font>
      <sz val="14"/>
      <color theme="0"/>
      <name val="Arial"/>
      <family val="2"/>
    </font>
    <font>
      <sz val="10"/>
      <color theme="0"/>
      <name val="Arial"/>
      <family val="2"/>
    </font>
    <font>
      <b/>
      <sz val="10"/>
      <name val="Arial"/>
      <family val="2"/>
    </font>
    <font>
      <sz val="10"/>
      <name val="Arial"/>
      <family val="2"/>
    </font>
    <font>
      <b/>
      <sz val="10"/>
      <color theme="0"/>
      <name val="Arial"/>
      <family val="2"/>
    </font>
    <font>
      <sz val="10"/>
      <color theme="1"/>
      <name val="Arial"/>
      <family val="2"/>
    </font>
    <font>
      <sz val="8"/>
      <name val="Arial Narrow"/>
      <family val="2"/>
    </font>
    <font>
      <b/>
      <vertAlign val="superscript"/>
      <sz val="10"/>
      <name val="Arial"/>
      <family val="2"/>
    </font>
    <font>
      <vertAlign val="superscript"/>
      <sz val="10"/>
      <name val="Arial"/>
      <family val="2"/>
    </font>
  </fonts>
  <fills count="4">
    <fill>
      <patternFill patternType="none"/>
    </fill>
    <fill>
      <patternFill patternType="gray125"/>
    </fill>
    <fill>
      <patternFill patternType="solid">
        <fgColor theme="0" tint="-4.9958800012207406E-2"/>
        <bgColor indexed="64"/>
      </patternFill>
    </fill>
    <fill>
      <patternFill patternType="solid">
        <fgColor theme="0" tint="-4.9989318521683403E-2"/>
        <bgColor indexed="64"/>
      </patternFill>
    </fill>
  </fills>
  <borders count="32">
    <border>
      <left/>
      <right/>
      <top/>
      <bottom/>
      <diagonal/>
    </border>
    <border>
      <left/>
      <right/>
      <top/>
      <bottom style="medium">
        <color auto="1"/>
      </bottom>
      <diagonal/>
    </border>
    <border>
      <left/>
      <right style="thin">
        <color auto="1"/>
      </right>
      <top style="medium">
        <color auto="1"/>
      </top>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bottom/>
      <diagonal/>
    </border>
    <border>
      <left style="thin">
        <color auto="1"/>
      </left>
      <right/>
      <top style="thin">
        <color auto="1"/>
      </top>
      <bottom style="thin">
        <color auto="1"/>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medium">
        <color auto="1"/>
      </bottom>
      <diagonal/>
    </border>
    <border>
      <left style="thin">
        <color auto="1"/>
      </left>
      <right/>
      <top/>
      <bottom style="medium">
        <color auto="1"/>
      </bottom>
      <diagonal/>
    </border>
    <border>
      <left/>
      <right/>
      <top style="medium">
        <color auto="1"/>
      </top>
      <bottom/>
      <diagonal/>
    </border>
    <border>
      <left style="thin">
        <color auto="1"/>
      </left>
      <right/>
      <top/>
      <bottom/>
      <diagonal/>
    </border>
    <border>
      <left/>
      <right style="hair">
        <color auto="1"/>
      </right>
      <top/>
      <bottom/>
      <diagonal/>
    </border>
    <border>
      <left/>
      <right style="hair">
        <color auto="1"/>
      </right>
      <top/>
      <bottom style="medium">
        <color auto="1"/>
      </bottom>
      <diagonal/>
    </border>
    <border>
      <left/>
      <right style="hair">
        <color auto="1"/>
      </right>
      <top style="thin">
        <color auto="1"/>
      </top>
      <bottom style="medium">
        <color auto="1"/>
      </bottom>
      <diagonal/>
    </border>
    <border>
      <left style="hair">
        <color auto="1"/>
      </left>
      <right/>
      <top/>
      <bottom style="medium">
        <color auto="1"/>
      </bottom>
      <diagonal/>
    </border>
    <border>
      <left/>
      <right style="thin">
        <color auto="1"/>
      </right>
      <top style="thin">
        <color auto="1"/>
      </top>
      <bottom style="medium">
        <color auto="1"/>
      </bottom>
      <diagonal/>
    </border>
    <border>
      <left style="hair">
        <color auto="1"/>
      </left>
      <right/>
      <top/>
      <bottom/>
      <diagonal/>
    </border>
    <border>
      <left style="thin">
        <color auto="1"/>
      </left>
      <right style="hair">
        <color auto="1"/>
      </right>
      <top/>
      <bottom/>
      <diagonal/>
    </border>
    <border>
      <left style="thin">
        <color auto="1"/>
      </left>
      <right style="hair">
        <color auto="1"/>
      </right>
      <top/>
      <bottom style="medium">
        <color auto="1"/>
      </bottom>
      <diagonal/>
    </border>
    <border>
      <left style="thin">
        <color auto="1"/>
      </left>
      <right style="hair">
        <color auto="1"/>
      </right>
      <top style="medium">
        <color auto="1"/>
      </top>
      <bottom/>
      <diagonal/>
    </border>
    <border>
      <left style="thin">
        <color auto="1"/>
      </left>
      <right/>
      <top style="medium">
        <color auto="1"/>
      </top>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medium">
        <color auto="1"/>
      </top>
      <bottom style="thin">
        <color auto="1"/>
      </bottom>
      <diagonal/>
    </border>
    <border>
      <left style="thin">
        <color auto="1"/>
      </left>
      <right style="thin">
        <color auto="1"/>
      </right>
      <top style="medium">
        <color auto="1"/>
      </top>
      <bottom/>
      <diagonal/>
    </border>
    <border>
      <left style="hair">
        <color auto="1"/>
      </left>
      <right/>
      <top style="medium">
        <color auto="1"/>
      </top>
      <bottom/>
      <diagonal/>
    </border>
    <border>
      <left style="thin">
        <color auto="1"/>
      </left>
      <right style="thin">
        <color auto="1"/>
      </right>
      <top/>
      <bottom/>
      <diagonal/>
    </border>
    <border>
      <left/>
      <right/>
      <top style="thin">
        <color auto="1"/>
      </top>
      <bottom style="thin">
        <color auto="1"/>
      </bottom>
      <diagonal/>
    </border>
    <border>
      <left style="thin">
        <color auto="1"/>
      </left>
      <right style="thin">
        <color auto="1"/>
      </right>
      <top/>
      <bottom style="medium">
        <color auto="1"/>
      </bottom>
      <diagonal/>
    </border>
  </borders>
  <cellStyleXfs count="214">
    <xf numFmtId="0" fontId="0" fillId="0" borderId="0"/>
    <xf numFmtId="0" fontId="2" fillId="0" borderId="0"/>
    <xf numFmtId="0" fontId="5" fillId="0" borderId="0"/>
    <xf numFmtId="0" fontId="9" fillId="0" borderId="0"/>
    <xf numFmtId="0" fontId="9" fillId="0" borderId="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 fillId="0" borderId="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cellStyleXfs>
  <cellXfs count="98">
    <xf numFmtId="0" fontId="0" fillId="0" borderId="0" xfId="0"/>
    <xf numFmtId="0" fontId="6" fillId="0" borderId="0" xfId="2" applyFont="1"/>
    <xf numFmtId="0" fontId="8" fillId="0" borderId="0" xfId="2" applyFont="1" applyAlignment="1">
      <alignment horizontal="left"/>
    </xf>
    <xf numFmtId="0" fontId="3" fillId="0" borderId="1" xfId="1" applyFont="1" applyBorder="1"/>
    <xf numFmtId="1" fontId="4" fillId="0" borderId="1" xfId="1" applyNumberFormat="1" applyFont="1" applyBorder="1" applyAlignment="1">
      <alignment wrapText="1"/>
    </xf>
    <xf numFmtId="0" fontId="6" fillId="0" borderId="0" xfId="2" applyFont="1" applyBorder="1"/>
    <xf numFmtId="0" fontId="10" fillId="0" borderId="0" xfId="4" applyFont="1" applyBorder="1"/>
    <xf numFmtId="0" fontId="10" fillId="0" borderId="0" xfId="4" applyFont="1"/>
    <xf numFmtId="0" fontId="13" fillId="0" borderId="0" xfId="2" applyFont="1"/>
    <xf numFmtId="0" fontId="14" fillId="0" borderId="0" xfId="2" applyFont="1" applyAlignment="1">
      <alignment horizontal="left"/>
    </xf>
    <xf numFmtId="0" fontId="13" fillId="0" borderId="0" xfId="4" applyFont="1"/>
    <xf numFmtId="0" fontId="15" fillId="0" borderId="0" xfId="2" applyFont="1" applyFill="1" applyAlignment="1"/>
    <xf numFmtId="0" fontId="17" fillId="0" borderId="0" xfId="2" applyFont="1" applyFill="1" applyAlignment="1"/>
    <xf numFmtId="0" fontId="16" fillId="0" borderId="10" xfId="3" applyFont="1" applyFill="1" applyBorder="1" applyAlignment="1"/>
    <xf numFmtId="1" fontId="16" fillId="0" borderId="11" xfId="3" applyNumberFormat="1" applyFont="1" applyFill="1" applyBorder="1" applyAlignment="1">
      <alignment horizontal="right" wrapText="1"/>
    </xf>
    <xf numFmtId="1" fontId="16" fillId="0" borderId="16" xfId="0" applyNumberFormat="1" applyFont="1" applyBorder="1" applyAlignment="1">
      <alignment horizontal="right" wrapText="1"/>
    </xf>
    <xf numFmtId="1" fontId="16" fillId="0" borderId="1" xfId="3" applyNumberFormat="1" applyFont="1" applyFill="1" applyBorder="1" applyAlignment="1">
      <alignment horizontal="right" wrapText="1"/>
    </xf>
    <xf numFmtId="1" fontId="16" fillId="0" borderId="18" xfId="0" applyNumberFormat="1" applyFont="1" applyBorder="1" applyAlignment="1">
      <alignment horizontal="right" wrapText="1"/>
    </xf>
    <xf numFmtId="1" fontId="16" fillId="0" borderId="10" xfId="3" applyNumberFormat="1" applyFont="1" applyFill="1" applyBorder="1" applyAlignment="1">
      <alignment horizontal="right" wrapText="1"/>
    </xf>
    <xf numFmtId="1" fontId="16" fillId="0" borderId="21" xfId="3" applyNumberFormat="1" applyFont="1" applyFill="1" applyBorder="1" applyAlignment="1">
      <alignment wrapText="1"/>
    </xf>
    <xf numFmtId="1" fontId="16" fillId="0" borderId="17" xfId="3" applyNumberFormat="1" applyFont="1" applyFill="1" applyBorder="1" applyAlignment="1">
      <alignment wrapText="1"/>
    </xf>
    <xf numFmtId="0" fontId="15" fillId="0" borderId="0" xfId="4" applyFont="1" applyFill="1"/>
    <xf numFmtId="0" fontId="17" fillId="0" borderId="0" xfId="4" applyFont="1" applyFill="1"/>
    <xf numFmtId="0" fontId="17" fillId="0" borderId="0" xfId="23" applyFont="1" applyFill="1" applyBorder="1"/>
    <xf numFmtId="165" fontId="17" fillId="0" borderId="20" xfId="2" applyNumberFormat="1" applyFont="1" applyFill="1" applyBorder="1" applyAlignment="1">
      <alignment horizontal="right"/>
    </xf>
    <xf numFmtId="165" fontId="17" fillId="0" borderId="13" xfId="2" applyNumberFormat="1" applyFont="1" applyFill="1" applyBorder="1" applyAlignment="1">
      <alignment horizontal="right"/>
    </xf>
    <xf numFmtId="164" fontId="17" fillId="0" borderId="14" xfId="2" applyNumberFormat="1" applyFont="1" applyFill="1" applyBorder="1" applyAlignment="1">
      <alignment horizontal="right"/>
    </xf>
    <xf numFmtId="165" fontId="17" fillId="0" borderId="0" xfId="2" applyNumberFormat="1" applyFont="1" applyFill="1" applyBorder="1" applyAlignment="1">
      <alignment horizontal="right"/>
    </xf>
    <xf numFmtId="165" fontId="17" fillId="0" borderId="19" xfId="2" applyNumberFormat="1" applyFont="1" applyFill="1" applyBorder="1" applyAlignment="1">
      <alignment horizontal="right"/>
    </xf>
    <xf numFmtId="164" fontId="17" fillId="0" borderId="5" xfId="2" applyNumberFormat="1" applyFont="1" applyFill="1" applyBorder="1" applyAlignment="1">
      <alignment horizontal="right"/>
    </xf>
    <xf numFmtId="164" fontId="17" fillId="0" borderId="0" xfId="2" applyNumberFormat="1" applyFont="1" applyFill="1" applyBorder="1" applyAlignment="1">
      <alignment horizontal="right"/>
    </xf>
    <xf numFmtId="37" fontId="17" fillId="0" borderId="20" xfId="4" applyNumberFormat="1" applyFont="1" applyFill="1" applyBorder="1"/>
    <xf numFmtId="164" fontId="17" fillId="0" borderId="19" xfId="2" applyNumberFormat="1" applyFont="1" applyFill="1" applyBorder="1"/>
    <xf numFmtId="165" fontId="17" fillId="0" borderId="0" xfId="2" quotePrefix="1" applyNumberFormat="1" applyFont="1" applyFill="1" applyBorder="1" applyAlignment="1">
      <alignment horizontal="right"/>
    </xf>
    <xf numFmtId="165" fontId="17" fillId="0" borderId="13" xfId="2" quotePrefix="1" applyNumberFormat="1" applyFont="1" applyFill="1" applyBorder="1" applyAlignment="1">
      <alignment horizontal="right"/>
    </xf>
    <xf numFmtId="165" fontId="17" fillId="0" borderId="19" xfId="2" quotePrefix="1" applyNumberFormat="1" applyFont="1" applyFill="1" applyBorder="1" applyAlignment="1">
      <alignment horizontal="right"/>
    </xf>
    <xf numFmtId="165" fontId="17" fillId="0" borderId="20" xfId="2" quotePrefix="1" applyNumberFormat="1" applyFont="1" applyFill="1" applyBorder="1" applyAlignment="1">
      <alignment horizontal="right"/>
    </xf>
    <xf numFmtId="164" fontId="17" fillId="0" borderId="14" xfId="2" quotePrefix="1" applyNumberFormat="1" applyFont="1" applyFill="1" applyBorder="1" applyAlignment="1">
      <alignment horizontal="right"/>
    </xf>
    <xf numFmtId="0" fontId="19" fillId="0" borderId="0" xfId="2" applyFont="1"/>
    <xf numFmtId="0" fontId="17" fillId="0" borderId="0" xfId="4" applyFont="1"/>
    <xf numFmtId="1" fontId="16" fillId="0" borderId="31" xfId="3" applyNumberFormat="1" applyFont="1" applyFill="1" applyBorder="1" applyAlignment="1">
      <alignment vertical="center" wrapText="1"/>
    </xf>
    <xf numFmtId="0" fontId="15" fillId="0" borderId="0" xfId="4" applyFont="1"/>
    <xf numFmtId="0" fontId="17" fillId="0" borderId="0" xfId="2" quotePrefix="1" applyFont="1" applyFill="1" applyAlignment="1">
      <alignment horizontal="left"/>
    </xf>
    <xf numFmtId="0" fontId="19" fillId="0" borderId="0" xfId="2" applyFont="1" applyBorder="1"/>
    <xf numFmtId="0" fontId="17" fillId="0" borderId="0" xfId="4" applyFont="1" applyBorder="1"/>
    <xf numFmtId="0" fontId="7" fillId="0" borderId="0" xfId="1" applyFont="1" applyAlignment="1"/>
    <xf numFmtId="165" fontId="17" fillId="2" borderId="20" xfId="2" applyNumberFormat="1" applyFont="1" applyFill="1" applyBorder="1" applyAlignment="1">
      <alignment horizontal="right"/>
    </xf>
    <xf numFmtId="165" fontId="17" fillId="2" borderId="13" xfId="2" applyNumberFormat="1" applyFont="1" applyFill="1" applyBorder="1" applyAlignment="1">
      <alignment horizontal="right"/>
    </xf>
    <xf numFmtId="164" fontId="17" fillId="2" borderId="14" xfId="2" applyNumberFormat="1" applyFont="1" applyFill="1" applyBorder="1" applyAlignment="1">
      <alignment horizontal="right"/>
    </xf>
    <xf numFmtId="165" fontId="17" fillId="2" borderId="0" xfId="2" applyNumberFormat="1" applyFont="1" applyFill="1" applyBorder="1" applyAlignment="1">
      <alignment horizontal="right"/>
    </xf>
    <xf numFmtId="165" fontId="17" fillId="2" borderId="0" xfId="2" quotePrefix="1" applyNumberFormat="1" applyFont="1" applyFill="1" applyBorder="1" applyAlignment="1">
      <alignment horizontal="right"/>
    </xf>
    <xf numFmtId="165" fontId="17" fillId="2" borderId="19" xfId="2" applyNumberFormat="1" applyFont="1" applyFill="1" applyBorder="1" applyAlignment="1">
      <alignment horizontal="right"/>
    </xf>
    <xf numFmtId="164" fontId="17" fillId="2" borderId="5" xfId="2" applyNumberFormat="1" applyFont="1" applyFill="1" applyBorder="1" applyAlignment="1">
      <alignment horizontal="right"/>
    </xf>
    <xf numFmtId="165" fontId="17" fillId="2" borderId="23" xfId="2" applyNumberFormat="1" applyFont="1" applyFill="1" applyBorder="1" applyAlignment="1">
      <alignment horizontal="right"/>
    </xf>
    <xf numFmtId="164" fontId="17" fillId="2" borderId="0" xfId="2" applyNumberFormat="1" applyFont="1" applyFill="1" applyBorder="1" applyAlignment="1">
      <alignment horizontal="right"/>
    </xf>
    <xf numFmtId="37" fontId="17" fillId="2" borderId="20" xfId="4" applyNumberFormat="1" applyFont="1" applyFill="1" applyBorder="1"/>
    <xf numFmtId="164" fontId="17" fillId="2" borderId="19" xfId="2" applyNumberFormat="1" applyFont="1" applyFill="1" applyBorder="1"/>
    <xf numFmtId="0" fontId="17" fillId="2" borderId="0" xfId="23" applyFont="1" applyFill="1" applyBorder="1"/>
    <xf numFmtId="165" fontId="17" fillId="2" borderId="19" xfId="2" quotePrefix="1" applyNumberFormat="1" applyFont="1" applyFill="1" applyBorder="1" applyAlignment="1">
      <alignment horizontal="right"/>
    </xf>
    <xf numFmtId="165" fontId="17" fillId="2" borderId="13" xfId="2" quotePrefix="1" applyNumberFormat="1" applyFont="1" applyFill="1" applyBorder="1" applyAlignment="1">
      <alignment horizontal="right"/>
    </xf>
    <xf numFmtId="165" fontId="17" fillId="2" borderId="20" xfId="2" quotePrefix="1" applyNumberFormat="1" applyFont="1" applyFill="1" applyBorder="1" applyAlignment="1">
      <alignment horizontal="right"/>
    </xf>
    <xf numFmtId="1" fontId="16" fillId="0" borderId="1" xfId="0" applyNumberFormat="1" applyFont="1" applyBorder="1" applyAlignment="1">
      <alignment horizontal="right" wrapText="1"/>
    </xf>
    <xf numFmtId="0" fontId="17" fillId="0" borderId="0" xfId="4" applyFont="1" applyFill="1" applyBorder="1" applyAlignment="1">
      <alignment vertical="center"/>
    </xf>
    <xf numFmtId="37" fontId="17" fillId="0" borderId="0" xfId="4" applyNumberFormat="1" applyFont="1" applyFill="1" applyBorder="1"/>
    <xf numFmtId="164" fontId="17" fillId="0" borderId="0" xfId="2" applyNumberFormat="1" applyFont="1" applyFill="1" applyBorder="1"/>
    <xf numFmtId="0" fontId="16" fillId="2" borderId="12" xfId="3" applyFont="1" applyFill="1" applyBorder="1" applyAlignment="1">
      <alignment horizontal="left" vertical="center"/>
    </xf>
    <xf numFmtId="0" fontId="17" fillId="3" borderId="1" xfId="23" applyFont="1" applyFill="1" applyBorder="1"/>
    <xf numFmtId="165" fontId="17" fillId="3" borderId="21" xfId="2" quotePrefix="1" applyNumberFormat="1" applyFont="1" applyFill="1" applyBorder="1" applyAlignment="1">
      <alignment horizontal="right"/>
    </xf>
    <xf numFmtId="165" fontId="17" fillId="3" borderId="11" xfId="2" quotePrefix="1" applyNumberFormat="1" applyFont="1" applyFill="1" applyBorder="1" applyAlignment="1">
      <alignment horizontal="right"/>
    </xf>
    <xf numFmtId="164" fontId="17" fillId="3" borderId="15" xfId="2" applyNumberFormat="1" applyFont="1" applyFill="1" applyBorder="1" applyAlignment="1">
      <alignment horizontal="right"/>
    </xf>
    <xf numFmtId="165" fontId="17" fillId="3" borderId="1" xfId="2" applyNumberFormat="1" applyFont="1" applyFill="1" applyBorder="1" applyAlignment="1">
      <alignment horizontal="right"/>
    </xf>
    <xf numFmtId="165" fontId="17" fillId="3" borderId="1" xfId="2" quotePrefix="1" applyNumberFormat="1" applyFont="1" applyFill="1" applyBorder="1" applyAlignment="1">
      <alignment horizontal="right"/>
    </xf>
    <xf numFmtId="165" fontId="17" fillId="3" borderId="17" xfId="2" quotePrefix="1" applyNumberFormat="1" applyFont="1" applyFill="1" applyBorder="1" applyAlignment="1">
      <alignment horizontal="right"/>
    </xf>
    <xf numFmtId="164" fontId="17" fillId="3" borderId="10" xfId="2" applyNumberFormat="1" applyFont="1" applyFill="1" applyBorder="1" applyAlignment="1">
      <alignment horizontal="right"/>
    </xf>
    <xf numFmtId="164" fontId="17" fillId="3" borderId="1" xfId="2" applyNumberFormat="1" applyFont="1" applyFill="1" applyBorder="1" applyAlignment="1">
      <alignment horizontal="right"/>
    </xf>
    <xf numFmtId="165" fontId="17" fillId="3" borderId="11" xfId="2" applyNumberFormat="1" applyFont="1" applyFill="1" applyBorder="1" applyAlignment="1">
      <alignment horizontal="right"/>
    </xf>
    <xf numFmtId="37" fontId="17" fillId="3" borderId="21" xfId="4" applyNumberFormat="1" applyFont="1" applyFill="1" applyBorder="1"/>
    <xf numFmtId="164" fontId="17" fillId="3" borderId="17" xfId="2" applyNumberFormat="1" applyFont="1" applyFill="1" applyBorder="1"/>
    <xf numFmtId="0" fontId="16" fillId="0" borderId="2" xfId="3" applyFont="1" applyFill="1" applyBorder="1" applyAlignment="1">
      <alignment horizontal="left"/>
    </xf>
    <xf numFmtId="0" fontId="16" fillId="0" borderId="5" xfId="3" applyFont="1" applyFill="1" applyBorder="1" applyAlignment="1">
      <alignment horizontal="left"/>
    </xf>
    <xf numFmtId="1" fontId="16" fillId="0" borderId="27" xfId="3" applyNumberFormat="1" applyFont="1" applyFill="1" applyBorder="1" applyAlignment="1">
      <alignment horizontal="center" wrapText="1"/>
    </xf>
    <xf numFmtId="1" fontId="16" fillId="0" borderId="29" xfId="3" applyNumberFormat="1" applyFont="1" applyFill="1" applyBorder="1" applyAlignment="1">
      <alignment horizontal="center" wrapText="1"/>
    </xf>
    <xf numFmtId="1" fontId="16" fillId="0" borderId="3" xfId="3" applyNumberFormat="1" applyFont="1" applyFill="1" applyBorder="1" applyAlignment="1">
      <alignment horizontal="center" vertical="center"/>
    </xf>
    <xf numFmtId="1" fontId="16" fillId="0" borderId="4" xfId="3" applyNumberFormat="1" applyFont="1" applyFill="1" applyBorder="1" applyAlignment="1">
      <alignment horizontal="center" vertical="center"/>
    </xf>
    <xf numFmtId="1" fontId="16" fillId="0" borderId="26" xfId="3" applyNumberFormat="1" applyFont="1" applyFill="1" applyBorder="1" applyAlignment="1">
      <alignment horizontal="center" vertical="center"/>
    </xf>
    <xf numFmtId="1" fontId="16" fillId="0" borderId="23" xfId="3" applyNumberFormat="1" applyFont="1" applyFill="1" applyBorder="1" applyAlignment="1">
      <alignment horizontal="center" wrapText="1"/>
    </xf>
    <xf numFmtId="1" fontId="16" fillId="0" borderId="2" xfId="3" applyNumberFormat="1" applyFont="1" applyFill="1" applyBorder="1" applyAlignment="1">
      <alignment horizontal="center" wrapText="1"/>
    </xf>
    <xf numFmtId="1" fontId="16" fillId="0" borderId="24" xfId="3" applyNumberFormat="1" applyFont="1" applyFill="1" applyBorder="1" applyAlignment="1">
      <alignment horizontal="center" wrapText="1"/>
    </xf>
    <xf numFmtId="1" fontId="16" fillId="0" borderId="25" xfId="3" applyNumberFormat="1" applyFont="1" applyFill="1" applyBorder="1" applyAlignment="1">
      <alignment horizontal="center" wrapText="1"/>
    </xf>
    <xf numFmtId="1" fontId="16" fillId="0" borderId="22" xfId="3" applyNumberFormat="1" applyFont="1" applyFill="1" applyBorder="1" applyAlignment="1">
      <alignment horizontal="center" wrapText="1"/>
    </xf>
    <xf numFmtId="1" fontId="16" fillId="0" borderId="20" xfId="3" applyNumberFormat="1" applyFont="1" applyFill="1" applyBorder="1" applyAlignment="1">
      <alignment horizontal="center" wrapText="1"/>
    </xf>
    <xf numFmtId="1" fontId="16" fillId="0" borderId="28" xfId="3" applyNumberFormat="1" applyFont="1" applyFill="1" applyBorder="1" applyAlignment="1">
      <alignment horizontal="center" wrapText="1"/>
    </xf>
    <xf numFmtId="1" fontId="18" fillId="0" borderId="19" xfId="3" applyNumberFormat="1" applyFont="1" applyFill="1" applyBorder="1" applyAlignment="1">
      <alignment horizontal="center" wrapText="1"/>
    </xf>
    <xf numFmtId="1" fontId="16" fillId="0" borderId="6" xfId="3" applyNumberFormat="1" applyFont="1" applyFill="1" applyBorder="1" applyAlignment="1">
      <alignment horizontal="center" wrapText="1"/>
    </xf>
    <xf numFmtId="1" fontId="16" fillId="0" borderId="7" xfId="3" applyNumberFormat="1" applyFont="1" applyFill="1" applyBorder="1" applyAlignment="1">
      <alignment horizontal="center" wrapText="1"/>
    </xf>
    <xf numFmtId="1" fontId="16" fillId="0" borderId="30" xfId="3" applyNumberFormat="1" applyFont="1" applyFill="1" applyBorder="1" applyAlignment="1">
      <alignment horizontal="center" wrapText="1"/>
    </xf>
    <xf numFmtId="1" fontId="16" fillId="0" borderId="8" xfId="3" applyNumberFormat="1" applyFont="1" applyFill="1" applyBorder="1" applyAlignment="1">
      <alignment horizontal="center" wrapText="1"/>
    </xf>
    <xf numFmtId="1" fontId="16" fillId="0" borderId="9" xfId="3" applyNumberFormat="1" applyFont="1" applyFill="1" applyBorder="1" applyAlignment="1">
      <alignment horizontal="center" wrapText="1"/>
    </xf>
  </cellXfs>
  <cellStyles count="214">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Followed Hyperlink" xfId="93" builtinId="9" hidden="1"/>
    <cellStyle name="Followed Hyperlink" xfId="95" builtinId="9" hidden="1"/>
    <cellStyle name="Followed Hyperlink" xfId="97" builtinId="9" hidden="1"/>
    <cellStyle name="Followed Hyperlink" xfId="99" builtinId="9" hidden="1"/>
    <cellStyle name="Followed Hyperlink" xfId="100" builtinId="9" hidden="1"/>
    <cellStyle name="Followed Hyperlink" xfId="101" builtinId="9" hidden="1"/>
    <cellStyle name="Followed Hyperlink" xfId="102" builtinId="9" hidden="1"/>
    <cellStyle name="Followed Hyperlink" xfId="103" builtinId="9" hidden="1"/>
    <cellStyle name="Followed Hyperlink" xfId="104" builtinId="9" hidden="1"/>
    <cellStyle name="Followed Hyperlink" xfId="105" builtinId="9" hidden="1"/>
    <cellStyle name="Followed Hyperlink" xfId="106" builtinId="9" hidden="1"/>
    <cellStyle name="Followed Hyperlink" xfId="107" builtinId="9" hidden="1"/>
    <cellStyle name="Followed Hyperlink" xfId="108" builtinId="9" hidden="1"/>
    <cellStyle name="Followed Hyperlink" xfId="109" builtinId="9" hidden="1"/>
    <cellStyle name="Followed Hyperlink" xfId="110" builtinId="9" hidden="1"/>
    <cellStyle name="Followed Hyperlink" xfId="111" builtinId="9" hidden="1"/>
    <cellStyle name="Followed Hyperlink" xfId="112" builtinId="9" hidden="1"/>
    <cellStyle name="Followed Hyperlink" xfId="113" builtinId="9" hidden="1"/>
    <cellStyle name="Followed Hyperlink" xfId="114" builtinId="9" hidden="1"/>
    <cellStyle name="Followed Hyperlink" xfId="115" builtinId="9" hidden="1"/>
    <cellStyle name="Followed Hyperlink" xfId="116" builtinId="9" hidden="1"/>
    <cellStyle name="Followed Hyperlink" xfId="117" builtinId="9" hidden="1"/>
    <cellStyle name="Followed Hyperlink" xfId="119" builtinId="9" hidden="1"/>
    <cellStyle name="Followed Hyperlink" xfId="121" builtinId="9" hidden="1"/>
    <cellStyle name="Followed Hyperlink" xfId="123" builtinId="9" hidden="1"/>
    <cellStyle name="Followed Hyperlink" xfId="125" builtinId="9" hidden="1"/>
    <cellStyle name="Followed Hyperlink" xfId="127" builtinId="9" hidden="1"/>
    <cellStyle name="Followed Hyperlink" xfId="129" builtinId="9" hidden="1"/>
    <cellStyle name="Followed Hyperlink" xfId="131" builtinId="9" hidden="1"/>
    <cellStyle name="Followed Hyperlink" xfId="133" builtinId="9" hidden="1"/>
    <cellStyle name="Followed Hyperlink" xfId="135" builtinId="9" hidden="1"/>
    <cellStyle name="Followed Hyperlink" xfId="137" builtinId="9" hidden="1"/>
    <cellStyle name="Followed Hyperlink" xfId="139" builtinId="9" hidden="1"/>
    <cellStyle name="Followed Hyperlink" xfId="141" builtinId="9" hidden="1"/>
    <cellStyle name="Followed Hyperlink" xfId="143" builtinId="9" hidden="1"/>
    <cellStyle name="Followed Hyperlink" xfId="145" builtinId="9" hidden="1"/>
    <cellStyle name="Followed Hyperlink" xfId="147" builtinId="9" hidden="1"/>
    <cellStyle name="Followed Hyperlink" xfId="149" builtinId="9" hidden="1"/>
    <cellStyle name="Followed Hyperlink" xfId="151" builtinId="9" hidden="1"/>
    <cellStyle name="Followed Hyperlink" xfId="153" builtinId="9" hidden="1"/>
    <cellStyle name="Followed Hyperlink" xfId="155" builtinId="9" hidden="1"/>
    <cellStyle name="Followed Hyperlink" xfId="157" builtinId="9" hidden="1"/>
    <cellStyle name="Followed Hyperlink" xfId="159" builtinId="9" hidden="1"/>
    <cellStyle name="Followed Hyperlink" xfId="161" builtinId="9" hidden="1"/>
    <cellStyle name="Followed Hyperlink" xfId="163" builtinId="9" hidden="1"/>
    <cellStyle name="Followed Hyperlink" xfId="165" builtinId="9" hidden="1"/>
    <cellStyle name="Followed Hyperlink" xfId="167" builtinId="9" hidden="1"/>
    <cellStyle name="Followed Hyperlink" xfId="169" builtinId="9" hidden="1"/>
    <cellStyle name="Followed Hyperlink" xfId="171" builtinId="9" hidden="1"/>
    <cellStyle name="Followed Hyperlink" xfId="173" builtinId="9" hidden="1"/>
    <cellStyle name="Followed Hyperlink" xfId="175" builtinId="9" hidden="1"/>
    <cellStyle name="Followed Hyperlink" xfId="177" builtinId="9" hidden="1"/>
    <cellStyle name="Followed Hyperlink" xfId="179" builtinId="9" hidden="1"/>
    <cellStyle name="Followed Hyperlink" xfId="181" builtinId="9" hidden="1"/>
    <cellStyle name="Followed Hyperlink" xfId="183" builtinId="9" hidden="1"/>
    <cellStyle name="Followed Hyperlink" xfId="185" builtinId="9" hidden="1"/>
    <cellStyle name="Followed Hyperlink" xfId="187" builtinId="9" hidden="1"/>
    <cellStyle name="Followed Hyperlink" xfId="189" builtinId="9" hidden="1"/>
    <cellStyle name="Followed Hyperlink" xfId="191" builtinId="9" hidden="1"/>
    <cellStyle name="Followed Hyperlink" xfId="193" builtinId="9" hidden="1"/>
    <cellStyle name="Followed Hyperlink" xfId="195" builtinId="9" hidden="1"/>
    <cellStyle name="Followed Hyperlink" xfId="197" builtinId="9" hidden="1"/>
    <cellStyle name="Followed Hyperlink" xfId="199" builtinId="9" hidden="1"/>
    <cellStyle name="Followed Hyperlink" xfId="201" builtinId="9" hidden="1"/>
    <cellStyle name="Followed Hyperlink" xfId="203" builtinId="9" hidden="1"/>
    <cellStyle name="Followed Hyperlink" xfId="205" builtinId="9" hidden="1"/>
    <cellStyle name="Followed Hyperlink" xfId="207" builtinId="9" hidden="1"/>
    <cellStyle name="Followed Hyperlink" xfId="209" builtinId="9" hidden="1"/>
    <cellStyle name="Followed Hyperlink" xfId="211" builtinId="9" hidden="1"/>
    <cellStyle name="Followed Hyperlink" xfId="213" builtinId="9"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4" builtinId="8" hidden="1"/>
    <cellStyle name="Hyperlink" xfId="96" builtinId="8" hidden="1"/>
    <cellStyle name="Hyperlink" xfId="98" builtinId="8" hidden="1"/>
    <cellStyle name="Hyperlink" xfId="118" builtinId="8" hidden="1"/>
    <cellStyle name="Hyperlink" xfId="120" builtinId="8" hidden="1"/>
    <cellStyle name="Hyperlink" xfId="122" builtinId="8" hidden="1"/>
    <cellStyle name="Hyperlink" xfId="124" builtinId="8" hidden="1"/>
    <cellStyle name="Hyperlink" xfId="126" builtinId="8" hidden="1"/>
    <cellStyle name="Hyperlink" xfId="128" builtinId="8" hidden="1"/>
    <cellStyle name="Hyperlink" xfId="130" builtinId="8" hidden="1"/>
    <cellStyle name="Hyperlink" xfId="132" builtinId="8" hidden="1"/>
    <cellStyle name="Hyperlink" xfId="134" builtinId="8" hidden="1"/>
    <cellStyle name="Hyperlink" xfId="136" builtinId="8" hidden="1"/>
    <cellStyle name="Hyperlink" xfId="138" builtinId="8" hidden="1"/>
    <cellStyle name="Hyperlink" xfId="140" builtinId="8" hidden="1"/>
    <cellStyle name="Hyperlink" xfId="142" builtinId="8" hidden="1"/>
    <cellStyle name="Hyperlink" xfId="144" builtinId="8" hidden="1"/>
    <cellStyle name="Hyperlink" xfId="146" builtinId="8" hidden="1"/>
    <cellStyle name="Hyperlink" xfId="148" builtinId="8" hidden="1"/>
    <cellStyle name="Hyperlink" xfId="150" builtinId="8" hidden="1"/>
    <cellStyle name="Hyperlink" xfId="152" builtinId="8" hidden="1"/>
    <cellStyle name="Hyperlink" xfId="154" builtinId="8" hidden="1"/>
    <cellStyle name="Hyperlink" xfId="156" builtinId="8" hidden="1"/>
    <cellStyle name="Hyperlink" xfId="158" builtinId="8" hidden="1"/>
    <cellStyle name="Hyperlink" xfId="160" builtinId="8" hidden="1"/>
    <cellStyle name="Hyperlink" xfId="162" builtinId="8" hidden="1"/>
    <cellStyle name="Hyperlink" xfId="164" builtinId="8" hidden="1"/>
    <cellStyle name="Hyperlink" xfId="166" builtinId="8" hidden="1"/>
    <cellStyle name="Hyperlink" xfId="168" builtinId="8" hidden="1"/>
    <cellStyle name="Hyperlink" xfId="170" builtinId="8" hidden="1"/>
    <cellStyle name="Hyperlink" xfId="172" builtinId="8" hidden="1"/>
    <cellStyle name="Hyperlink" xfId="174" builtinId="8" hidden="1"/>
    <cellStyle name="Hyperlink" xfId="176" builtinId="8" hidden="1"/>
    <cellStyle name="Hyperlink" xfId="178" builtinId="8" hidden="1"/>
    <cellStyle name="Hyperlink" xfId="180" builtinId="8" hidden="1"/>
    <cellStyle name="Hyperlink" xfId="182" builtinId="8" hidden="1"/>
    <cellStyle name="Hyperlink" xfId="184" builtinId="8" hidden="1"/>
    <cellStyle name="Hyperlink" xfId="186" builtinId="8" hidden="1"/>
    <cellStyle name="Hyperlink" xfId="188" builtinId="8" hidden="1"/>
    <cellStyle name="Hyperlink" xfId="190" builtinId="8" hidden="1"/>
    <cellStyle name="Hyperlink" xfId="192" builtinId="8" hidden="1"/>
    <cellStyle name="Hyperlink" xfId="194" builtinId="8" hidden="1"/>
    <cellStyle name="Hyperlink" xfId="196" builtinId="8" hidden="1"/>
    <cellStyle name="Hyperlink" xfId="198" builtinId="8" hidden="1"/>
    <cellStyle name="Hyperlink" xfId="200" builtinId="8" hidden="1"/>
    <cellStyle name="Hyperlink" xfId="202" builtinId="8" hidden="1"/>
    <cellStyle name="Hyperlink" xfId="204" builtinId="8" hidden="1"/>
    <cellStyle name="Hyperlink" xfId="206" builtinId="8" hidden="1"/>
    <cellStyle name="Hyperlink" xfId="208" builtinId="8" hidden="1"/>
    <cellStyle name="Hyperlink" xfId="210" builtinId="8" hidden="1"/>
    <cellStyle name="Hyperlink" xfId="212" builtinId="8" hidden="1"/>
    <cellStyle name="Normal" xfId="0" builtinId="0"/>
    <cellStyle name="Normal 2 2" xfId="4" xr:uid="{00000000-0005-0000-0000-0000D1000000}"/>
    <cellStyle name="Normal 3" xfId="2" xr:uid="{00000000-0005-0000-0000-0000D2000000}"/>
    <cellStyle name="Normal 6" xfId="3" xr:uid="{00000000-0005-0000-0000-0000D3000000}"/>
    <cellStyle name="Normal 9" xfId="1" xr:uid="{00000000-0005-0000-0000-0000D4000000}"/>
    <cellStyle name="Normal 9 2" xfId="23" xr:uid="{00000000-0005-0000-0000-0000D500000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Y67"/>
  <sheetViews>
    <sheetView showGridLines="0" tabSelected="1" topLeftCell="A43" zoomScale="85" zoomScaleNormal="85" workbookViewId="0">
      <selection activeCell="B61" sqref="B61"/>
    </sheetView>
  </sheetViews>
  <sheetFormatPr defaultColWidth="12.109375" defaultRowHeight="15" customHeight="1" x14ac:dyDescent="0.3"/>
  <cols>
    <col min="1" max="1" width="16" style="10" customWidth="1"/>
    <col min="2" max="2" width="52.77734375" style="1" customWidth="1"/>
    <col min="3" max="21" width="14.77734375" style="1" customWidth="1"/>
    <col min="22" max="22" width="14.77734375" style="5" customWidth="1"/>
    <col min="23" max="23" width="14.77734375" style="6" customWidth="1"/>
    <col min="24" max="25" width="14.77734375" style="1" customWidth="1"/>
    <col min="26" max="26" width="2" style="7" customWidth="1"/>
    <col min="27" max="16384" width="12.109375" style="7"/>
  </cols>
  <sheetData>
    <row r="2" spans="1:25" s="2" customFormat="1" ht="15" customHeight="1" x14ac:dyDescent="0.4">
      <c r="A2" s="9"/>
      <c r="B2" s="45" t="str">
        <f>CONCATENATE("Number and percentage of public school students ",A7, ", by race/ethnicity, disability status, and English proficiency, by state: School Year 2017-18")</f>
        <v>Number and percentage of public school students subjected to mechanical restraint, by race/ethnicity, disability status, and English proficiency, by state: School Year 2017-18</v>
      </c>
      <c r="C2" s="45"/>
      <c r="D2" s="45"/>
      <c r="E2" s="45"/>
      <c r="F2" s="45"/>
      <c r="G2" s="45"/>
      <c r="H2" s="45"/>
      <c r="I2" s="45"/>
      <c r="J2" s="45"/>
      <c r="K2" s="45"/>
      <c r="L2" s="45"/>
      <c r="M2" s="45"/>
      <c r="N2" s="45"/>
      <c r="O2" s="45"/>
      <c r="P2" s="45"/>
      <c r="Q2" s="45"/>
      <c r="R2" s="45"/>
      <c r="S2" s="45"/>
      <c r="T2" s="45"/>
      <c r="U2" s="45"/>
      <c r="V2" s="45"/>
      <c r="W2" s="45"/>
    </row>
    <row r="3" spans="1:25" s="1" customFormat="1" ht="15" customHeight="1" thickBot="1" x14ac:dyDescent="0.35">
      <c r="A3" s="8"/>
      <c r="B3" s="3"/>
      <c r="C3" s="4"/>
      <c r="D3" s="4"/>
      <c r="E3" s="4"/>
      <c r="F3" s="4"/>
      <c r="G3" s="4"/>
      <c r="H3" s="4"/>
      <c r="I3" s="4"/>
      <c r="J3" s="4"/>
      <c r="K3" s="4"/>
      <c r="L3" s="4"/>
      <c r="M3" s="4"/>
      <c r="N3" s="4"/>
      <c r="O3" s="4"/>
      <c r="P3" s="4"/>
      <c r="Q3" s="4"/>
      <c r="R3" s="4"/>
      <c r="S3" s="4"/>
      <c r="T3" s="4"/>
      <c r="U3" s="4"/>
      <c r="V3" s="4"/>
      <c r="W3" s="5"/>
      <c r="X3" s="4"/>
      <c r="Y3" s="4"/>
    </row>
    <row r="4" spans="1:25" s="12" customFormat="1" ht="25" customHeight="1" x14ac:dyDescent="0.25">
      <c r="A4" s="11"/>
      <c r="B4" s="78" t="s">
        <v>0</v>
      </c>
      <c r="C4" s="80" t="s">
        <v>9</v>
      </c>
      <c r="D4" s="82" t="s">
        <v>73</v>
      </c>
      <c r="E4" s="83"/>
      <c r="F4" s="83"/>
      <c r="G4" s="83"/>
      <c r="H4" s="83"/>
      <c r="I4" s="83"/>
      <c r="J4" s="83"/>
      <c r="K4" s="83"/>
      <c r="L4" s="83"/>
      <c r="M4" s="83"/>
      <c r="N4" s="83"/>
      <c r="O4" s="83"/>
      <c r="P4" s="83"/>
      <c r="Q4" s="84"/>
      <c r="R4" s="85" t="s">
        <v>67</v>
      </c>
      <c r="S4" s="86"/>
      <c r="T4" s="85" t="s">
        <v>15</v>
      </c>
      <c r="U4" s="86"/>
      <c r="V4" s="85" t="s">
        <v>10</v>
      </c>
      <c r="W4" s="86"/>
      <c r="X4" s="89" t="s">
        <v>13</v>
      </c>
      <c r="Y4" s="91" t="s">
        <v>11</v>
      </c>
    </row>
    <row r="5" spans="1:25" s="12" customFormat="1" ht="25" customHeight="1" x14ac:dyDescent="0.3">
      <c r="A5" s="11"/>
      <c r="B5" s="79"/>
      <c r="C5" s="81"/>
      <c r="D5" s="93" t="s">
        <v>1</v>
      </c>
      <c r="E5" s="94"/>
      <c r="F5" s="95" t="s">
        <v>2</v>
      </c>
      <c r="G5" s="94"/>
      <c r="H5" s="96" t="s">
        <v>3</v>
      </c>
      <c r="I5" s="94"/>
      <c r="J5" s="96" t="s">
        <v>4</v>
      </c>
      <c r="K5" s="94"/>
      <c r="L5" s="96" t="s">
        <v>5</v>
      </c>
      <c r="M5" s="94"/>
      <c r="N5" s="96" t="s">
        <v>6</v>
      </c>
      <c r="O5" s="94"/>
      <c r="P5" s="96" t="s">
        <v>7</v>
      </c>
      <c r="Q5" s="97"/>
      <c r="R5" s="87"/>
      <c r="S5" s="88"/>
      <c r="T5" s="87"/>
      <c r="U5" s="88"/>
      <c r="V5" s="87"/>
      <c r="W5" s="88"/>
      <c r="X5" s="90"/>
      <c r="Y5" s="92"/>
    </row>
    <row r="6" spans="1:25" s="12" customFormat="1" ht="15" customHeight="1" thickBot="1" x14ac:dyDescent="0.35">
      <c r="A6" s="11"/>
      <c r="B6" s="13"/>
      <c r="C6" s="40"/>
      <c r="D6" s="14" t="s">
        <v>8</v>
      </c>
      <c r="E6" s="15" t="s">
        <v>12</v>
      </c>
      <c r="F6" s="16" t="s">
        <v>8</v>
      </c>
      <c r="G6" s="15" t="s">
        <v>12</v>
      </c>
      <c r="H6" s="16" t="s">
        <v>8</v>
      </c>
      <c r="I6" s="15" t="s">
        <v>12</v>
      </c>
      <c r="J6" s="16" t="s">
        <v>8</v>
      </c>
      <c r="K6" s="15" t="s">
        <v>12</v>
      </c>
      <c r="L6" s="16" t="s">
        <v>8</v>
      </c>
      <c r="M6" s="15" t="s">
        <v>12</v>
      </c>
      <c r="N6" s="16" t="s">
        <v>8</v>
      </c>
      <c r="O6" s="15" t="s">
        <v>12</v>
      </c>
      <c r="P6" s="16" t="s">
        <v>8</v>
      </c>
      <c r="Q6" s="17" t="s">
        <v>12</v>
      </c>
      <c r="R6" s="61" t="s">
        <v>8</v>
      </c>
      <c r="S6" s="18" t="s">
        <v>74</v>
      </c>
      <c r="T6" s="14" t="s">
        <v>8</v>
      </c>
      <c r="U6" s="18" t="s">
        <v>74</v>
      </c>
      <c r="V6" s="16" t="s">
        <v>8</v>
      </c>
      <c r="W6" s="18" t="s">
        <v>74</v>
      </c>
      <c r="X6" s="19"/>
      <c r="Y6" s="20"/>
    </row>
    <row r="7" spans="1:25" s="22" customFormat="1" ht="15" customHeight="1" x14ac:dyDescent="0.25">
      <c r="A7" s="21" t="s">
        <v>68</v>
      </c>
      <c r="B7" s="65" t="s">
        <v>69</v>
      </c>
      <c r="C7" s="46">
        <v>3609</v>
      </c>
      <c r="D7" s="47">
        <v>33</v>
      </c>
      <c r="E7" s="48">
        <v>0.91400000000000003</v>
      </c>
      <c r="F7" s="49">
        <v>35</v>
      </c>
      <c r="G7" s="48">
        <v>0.9698</v>
      </c>
      <c r="H7" s="49">
        <v>1285</v>
      </c>
      <c r="I7" s="48">
        <v>35.605400000000003</v>
      </c>
      <c r="J7" s="49">
        <v>1180</v>
      </c>
      <c r="K7" s="48">
        <v>32.695999999999998</v>
      </c>
      <c r="L7" s="49">
        <v>974</v>
      </c>
      <c r="M7" s="48">
        <v>26.988</v>
      </c>
      <c r="N7" s="50">
        <v>6</v>
      </c>
      <c r="O7" s="48">
        <v>0.16625000000000001</v>
      </c>
      <c r="P7" s="51">
        <v>96</v>
      </c>
      <c r="Q7" s="52">
        <v>2.66</v>
      </c>
      <c r="R7" s="49">
        <v>1489</v>
      </c>
      <c r="S7" s="54">
        <v>41.258000000000003</v>
      </c>
      <c r="T7" s="53">
        <v>152</v>
      </c>
      <c r="U7" s="52">
        <v>4.2117000000000004</v>
      </c>
      <c r="V7" s="53">
        <v>339</v>
      </c>
      <c r="W7" s="54">
        <v>9.3932000000000002</v>
      </c>
      <c r="X7" s="55">
        <v>97632</v>
      </c>
      <c r="Y7" s="56">
        <v>99.701999999999998</v>
      </c>
    </row>
    <row r="8" spans="1:25" s="22" customFormat="1" ht="15" customHeight="1" x14ac:dyDescent="0.25">
      <c r="A8" s="21" t="s">
        <v>14</v>
      </c>
      <c r="B8" s="23" t="s">
        <v>17</v>
      </c>
      <c r="C8" s="24">
        <v>33</v>
      </c>
      <c r="D8" s="25">
        <v>0</v>
      </c>
      <c r="E8" s="26">
        <v>0</v>
      </c>
      <c r="F8" s="27">
        <v>0</v>
      </c>
      <c r="G8" s="26">
        <v>0</v>
      </c>
      <c r="H8" s="33">
        <v>2</v>
      </c>
      <c r="I8" s="26">
        <v>6.0606</v>
      </c>
      <c r="J8" s="27">
        <v>20</v>
      </c>
      <c r="K8" s="26">
        <v>60.606000000000002</v>
      </c>
      <c r="L8" s="27">
        <v>10</v>
      </c>
      <c r="M8" s="26">
        <v>30.303000000000001</v>
      </c>
      <c r="N8" s="27">
        <v>0</v>
      </c>
      <c r="O8" s="26">
        <v>0</v>
      </c>
      <c r="P8" s="35">
        <v>1</v>
      </c>
      <c r="Q8" s="29">
        <v>3.0303</v>
      </c>
      <c r="R8" s="27">
        <v>23</v>
      </c>
      <c r="S8" s="30">
        <v>69.697000000000003</v>
      </c>
      <c r="T8" s="25">
        <v>0</v>
      </c>
      <c r="U8" s="29">
        <v>0</v>
      </c>
      <c r="V8" s="34">
        <v>0</v>
      </c>
      <c r="W8" s="30">
        <v>0</v>
      </c>
      <c r="X8" s="31">
        <v>1390</v>
      </c>
      <c r="Y8" s="32">
        <v>100</v>
      </c>
    </row>
    <row r="9" spans="1:25" s="22" customFormat="1" ht="15" customHeight="1" x14ac:dyDescent="0.25">
      <c r="A9" s="21" t="s">
        <v>14</v>
      </c>
      <c r="B9" s="57" t="s">
        <v>16</v>
      </c>
      <c r="C9" s="46">
        <v>1</v>
      </c>
      <c r="D9" s="47">
        <v>1</v>
      </c>
      <c r="E9" s="48">
        <v>100</v>
      </c>
      <c r="F9" s="49">
        <v>0</v>
      </c>
      <c r="G9" s="48">
        <v>0</v>
      </c>
      <c r="H9" s="49">
        <v>0</v>
      </c>
      <c r="I9" s="48">
        <v>0</v>
      </c>
      <c r="J9" s="50">
        <v>0</v>
      </c>
      <c r="K9" s="48">
        <v>0</v>
      </c>
      <c r="L9" s="50">
        <v>0</v>
      </c>
      <c r="M9" s="48">
        <v>0</v>
      </c>
      <c r="N9" s="49">
        <v>0</v>
      </c>
      <c r="O9" s="48">
        <v>0</v>
      </c>
      <c r="P9" s="58">
        <v>0</v>
      </c>
      <c r="Q9" s="52">
        <v>0</v>
      </c>
      <c r="R9" s="49">
        <v>0</v>
      </c>
      <c r="S9" s="54">
        <v>0</v>
      </c>
      <c r="T9" s="59">
        <v>0</v>
      </c>
      <c r="U9" s="52">
        <v>0</v>
      </c>
      <c r="V9" s="59">
        <v>0</v>
      </c>
      <c r="W9" s="54">
        <v>0</v>
      </c>
      <c r="X9" s="55">
        <v>506</v>
      </c>
      <c r="Y9" s="56">
        <v>100</v>
      </c>
    </row>
    <row r="10" spans="1:25" s="22" customFormat="1" ht="15" customHeight="1" x14ac:dyDescent="0.25">
      <c r="A10" s="21" t="s">
        <v>14</v>
      </c>
      <c r="B10" s="23" t="s">
        <v>19</v>
      </c>
      <c r="C10" s="24">
        <v>17</v>
      </c>
      <c r="D10" s="34">
        <v>7</v>
      </c>
      <c r="E10" s="26">
        <v>41.176000000000002</v>
      </c>
      <c r="F10" s="27">
        <v>0</v>
      </c>
      <c r="G10" s="26">
        <v>0</v>
      </c>
      <c r="H10" s="33">
        <v>3</v>
      </c>
      <c r="I10" s="26">
        <v>17.647099999999998</v>
      </c>
      <c r="J10" s="27">
        <v>2</v>
      </c>
      <c r="K10" s="26">
        <v>11.765000000000001</v>
      </c>
      <c r="L10" s="33">
        <v>5</v>
      </c>
      <c r="M10" s="26">
        <v>29.411999999999999</v>
      </c>
      <c r="N10" s="33">
        <v>0</v>
      </c>
      <c r="O10" s="26">
        <v>0</v>
      </c>
      <c r="P10" s="28">
        <v>0</v>
      </c>
      <c r="Q10" s="29">
        <v>0</v>
      </c>
      <c r="R10" s="27">
        <v>8</v>
      </c>
      <c r="S10" s="30">
        <v>47.058999999999997</v>
      </c>
      <c r="T10" s="34">
        <v>1</v>
      </c>
      <c r="U10" s="29">
        <v>5.8823999999999996</v>
      </c>
      <c r="V10" s="34">
        <v>0</v>
      </c>
      <c r="W10" s="30">
        <v>0</v>
      </c>
      <c r="X10" s="31">
        <v>2000</v>
      </c>
      <c r="Y10" s="32">
        <v>100</v>
      </c>
    </row>
    <row r="11" spans="1:25" s="22" customFormat="1" ht="15" customHeight="1" x14ac:dyDescent="0.25">
      <c r="A11" s="21" t="s">
        <v>14</v>
      </c>
      <c r="B11" s="57" t="s">
        <v>18</v>
      </c>
      <c r="C11" s="46">
        <v>62</v>
      </c>
      <c r="D11" s="47">
        <v>0</v>
      </c>
      <c r="E11" s="48">
        <v>0</v>
      </c>
      <c r="F11" s="50">
        <v>0</v>
      </c>
      <c r="G11" s="48">
        <v>0</v>
      </c>
      <c r="H11" s="49">
        <v>1</v>
      </c>
      <c r="I11" s="48">
        <v>1.6129</v>
      </c>
      <c r="J11" s="49">
        <v>28</v>
      </c>
      <c r="K11" s="48">
        <v>45.161000000000001</v>
      </c>
      <c r="L11" s="49">
        <v>30</v>
      </c>
      <c r="M11" s="48">
        <v>48.387</v>
      </c>
      <c r="N11" s="49">
        <v>0</v>
      </c>
      <c r="O11" s="48">
        <v>0</v>
      </c>
      <c r="P11" s="58">
        <v>3</v>
      </c>
      <c r="Q11" s="52">
        <v>4.8387000000000002</v>
      </c>
      <c r="R11" s="49">
        <v>23</v>
      </c>
      <c r="S11" s="54">
        <v>37.097000000000001</v>
      </c>
      <c r="T11" s="59">
        <v>0</v>
      </c>
      <c r="U11" s="52">
        <v>0</v>
      </c>
      <c r="V11" s="47">
        <v>0</v>
      </c>
      <c r="W11" s="54">
        <v>0</v>
      </c>
      <c r="X11" s="55">
        <v>1088</v>
      </c>
      <c r="Y11" s="56">
        <v>100</v>
      </c>
    </row>
    <row r="12" spans="1:25" s="22" customFormat="1" ht="15" customHeight="1" x14ac:dyDescent="0.25">
      <c r="A12" s="21" t="s">
        <v>14</v>
      </c>
      <c r="B12" s="23" t="s">
        <v>20</v>
      </c>
      <c r="C12" s="24">
        <v>226</v>
      </c>
      <c r="D12" s="25">
        <v>4</v>
      </c>
      <c r="E12" s="26">
        <v>1.77</v>
      </c>
      <c r="F12" s="33">
        <v>8</v>
      </c>
      <c r="G12" s="26">
        <v>3.5398000000000001</v>
      </c>
      <c r="H12" s="27">
        <v>114</v>
      </c>
      <c r="I12" s="26">
        <v>50.442500000000003</v>
      </c>
      <c r="J12" s="27">
        <v>58</v>
      </c>
      <c r="K12" s="26">
        <v>25.664000000000001</v>
      </c>
      <c r="L12" s="27">
        <v>37</v>
      </c>
      <c r="M12" s="26">
        <v>16.372</v>
      </c>
      <c r="N12" s="33">
        <v>2</v>
      </c>
      <c r="O12" s="26">
        <v>0.88495999999999997</v>
      </c>
      <c r="P12" s="35">
        <v>3</v>
      </c>
      <c r="Q12" s="29">
        <v>1.3273999999999999</v>
      </c>
      <c r="R12" s="27">
        <v>46</v>
      </c>
      <c r="S12" s="30">
        <v>20.353999999999999</v>
      </c>
      <c r="T12" s="34">
        <v>10</v>
      </c>
      <c r="U12" s="29">
        <v>4.4248000000000003</v>
      </c>
      <c r="V12" s="25">
        <v>27</v>
      </c>
      <c r="W12" s="30">
        <v>11.946899999999999</v>
      </c>
      <c r="X12" s="31">
        <v>10121</v>
      </c>
      <c r="Y12" s="32">
        <v>100</v>
      </c>
    </row>
    <row r="13" spans="1:25" s="22" customFormat="1" ht="15" customHeight="1" x14ac:dyDescent="0.25">
      <c r="A13" s="21" t="s">
        <v>14</v>
      </c>
      <c r="B13" s="57" t="s">
        <v>21</v>
      </c>
      <c r="C13" s="46">
        <v>92</v>
      </c>
      <c r="D13" s="47">
        <v>0</v>
      </c>
      <c r="E13" s="48">
        <v>0</v>
      </c>
      <c r="F13" s="50">
        <v>0</v>
      </c>
      <c r="G13" s="48">
        <v>0</v>
      </c>
      <c r="H13" s="49">
        <v>43</v>
      </c>
      <c r="I13" s="48">
        <v>46.739100000000001</v>
      </c>
      <c r="J13" s="50">
        <v>15</v>
      </c>
      <c r="K13" s="48">
        <v>16.303999999999998</v>
      </c>
      <c r="L13" s="49">
        <v>34</v>
      </c>
      <c r="M13" s="48">
        <v>36.957000000000001</v>
      </c>
      <c r="N13" s="49">
        <v>0</v>
      </c>
      <c r="O13" s="48">
        <v>0</v>
      </c>
      <c r="P13" s="51">
        <v>0</v>
      </c>
      <c r="Q13" s="52">
        <v>0</v>
      </c>
      <c r="R13" s="49">
        <v>30</v>
      </c>
      <c r="S13" s="54">
        <v>32.609000000000002</v>
      </c>
      <c r="T13" s="47">
        <v>0</v>
      </c>
      <c r="U13" s="52">
        <v>0</v>
      </c>
      <c r="V13" s="59">
        <v>0</v>
      </c>
      <c r="W13" s="54">
        <v>0</v>
      </c>
      <c r="X13" s="55">
        <v>1908</v>
      </c>
      <c r="Y13" s="56">
        <v>100</v>
      </c>
    </row>
    <row r="14" spans="1:25" s="22" customFormat="1" ht="15" customHeight="1" x14ac:dyDescent="0.25">
      <c r="A14" s="21" t="s">
        <v>14</v>
      </c>
      <c r="B14" s="23" t="s">
        <v>22</v>
      </c>
      <c r="C14" s="36">
        <v>25</v>
      </c>
      <c r="D14" s="25">
        <v>1</v>
      </c>
      <c r="E14" s="26">
        <v>4</v>
      </c>
      <c r="F14" s="27">
        <v>0</v>
      </c>
      <c r="G14" s="26">
        <v>0</v>
      </c>
      <c r="H14" s="33">
        <v>2</v>
      </c>
      <c r="I14" s="26">
        <v>8</v>
      </c>
      <c r="J14" s="33">
        <v>7</v>
      </c>
      <c r="K14" s="26">
        <v>28</v>
      </c>
      <c r="L14" s="33">
        <v>15</v>
      </c>
      <c r="M14" s="26">
        <v>60</v>
      </c>
      <c r="N14" s="27">
        <v>0</v>
      </c>
      <c r="O14" s="26">
        <v>0</v>
      </c>
      <c r="P14" s="28">
        <v>0</v>
      </c>
      <c r="Q14" s="29">
        <v>0</v>
      </c>
      <c r="R14" s="27">
        <v>20</v>
      </c>
      <c r="S14" s="30">
        <v>80</v>
      </c>
      <c r="T14" s="34">
        <v>1</v>
      </c>
      <c r="U14" s="29">
        <v>4</v>
      </c>
      <c r="V14" s="25">
        <v>0</v>
      </c>
      <c r="W14" s="30">
        <v>0</v>
      </c>
      <c r="X14" s="31">
        <v>1214</v>
      </c>
      <c r="Y14" s="32">
        <v>100</v>
      </c>
    </row>
    <row r="15" spans="1:25" s="22" customFormat="1" ht="15" customHeight="1" x14ac:dyDescent="0.25">
      <c r="A15" s="21" t="s">
        <v>14</v>
      </c>
      <c r="B15" s="57" t="s">
        <v>24</v>
      </c>
      <c r="C15" s="60">
        <v>0</v>
      </c>
      <c r="D15" s="47">
        <v>0</v>
      </c>
      <c r="E15" s="48">
        <v>0</v>
      </c>
      <c r="F15" s="49">
        <v>0</v>
      </c>
      <c r="G15" s="48">
        <v>0</v>
      </c>
      <c r="H15" s="49">
        <v>0</v>
      </c>
      <c r="I15" s="48">
        <v>0</v>
      </c>
      <c r="J15" s="50">
        <v>0</v>
      </c>
      <c r="K15" s="48">
        <v>0</v>
      </c>
      <c r="L15" s="49">
        <v>0</v>
      </c>
      <c r="M15" s="48">
        <v>0</v>
      </c>
      <c r="N15" s="50">
        <v>0</v>
      </c>
      <c r="O15" s="48">
        <v>0</v>
      </c>
      <c r="P15" s="51">
        <v>0</v>
      </c>
      <c r="Q15" s="52">
        <v>0</v>
      </c>
      <c r="R15" s="49">
        <v>0</v>
      </c>
      <c r="S15" s="54">
        <v>0</v>
      </c>
      <c r="T15" s="59">
        <v>0</v>
      </c>
      <c r="U15" s="52">
        <v>0</v>
      </c>
      <c r="V15" s="47">
        <v>0</v>
      </c>
      <c r="W15" s="54">
        <v>0</v>
      </c>
      <c r="X15" s="55">
        <v>231</v>
      </c>
      <c r="Y15" s="56">
        <v>100</v>
      </c>
    </row>
    <row r="16" spans="1:25" s="22" customFormat="1" ht="15" customHeight="1" x14ac:dyDescent="0.25">
      <c r="A16" s="21" t="s">
        <v>14</v>
      </c>
      <c r="B16" s="23" t="s">
        <v>23</v>
      </c>
      <c r="C16" s="36">
        <v>10</v>
      </c>
      <c r="D16" s="34">
        <v>0</v>
      </c>
      <c r="E16" s="26">
        <v>0</v>
      </c>
      <c r="F16" s="33">
        <v>0</v>
      </c>
      <c r="G16" s="26">
        <v>0</v>
      </c>
      <c r="H16" s="27">
        <v>0</v>
      </c>
      <c r="I16" s="26">
        <v>0</v>
      </c>
      <c r="J16" s="33">
        <v>10</v>
      </c>
      <c r="K16" s="26">
        <v>100</v>
      </c>
      <c r="L16" s="27">
        <v>0</v>
      </c>
      <c r="M16" s="26">
        <v>0</v>
      </c>
      <c r="N16" s="33">
        <v>0</v>
      </c>
      <c r="O16" s="26">
        <v>0</v>
      </c>
      <c r="P16" s="28">
        <v>0</v>
      </c>
      <c r="Q16" s="29">
        <v>0</v>
      </c>
      <c r="R16" s="27">
        <v>8</v>
      </c>
      <c r="S16" s="30">
        <v>80</v>
      </c>
      <c r="T16" s="25">
        <v>0</v>
      </c>
      <c r="U16" s="29">
        <v>0</v>
      </c>
      <c r="V16" s="25">
        <v>0</v>
      </c>
      <c r="W16" s="30">
        <v>0</v>
      </c>
      <c r="X16" s="31">
        <v>228</v>
      </c>
      <c r="Y16" s="32">
        <v>100</v>
      </c>
    </row>
    <row r="17" spans="1:25" s="22" customFormat="1" ht="15" customHeight="1" x14ac:dyDescent="0.25">
      <c r="A17" s="21" t="s">
        <v>14</v>
      </c>
      <c r="B17" s="57" t="s">
        <v>25</v>
      </c>
      <c r="C17" s="46">
        <v>53</v>
      </c>
      <c r="D17" s="47">
        <v>0</v>
      </c>
      <c r="E17" s="48">
        <v>0</v>
      </c>
      <c r="F17" s="50">
        <v>0</v>
      </c>
      <c r="G17" s="48">
        <v>0</v>
      </c>
      <c r="H17" s="49">
        <v>15</v>
      </c>
      <c r="I17" s="48">
        <v>28.3019</v>
      </c>
      <c r="J17" s="50">
        <v>15</v>
      </c>
      <c r="K17" s="48">
        <v>28.302</v>
      </c>
      <c r="L17" s="50">
        <v>19</v>
      </c>
      <c r="M17" s="48">
        <v>35.848999999999997</v>
      </c>
      <c r="N17" s="50">
        <v>0</v>
      </c>
      <c r="O17" s="48">
        <v>0</v>
      </c>
      <c r="P17" s="58">
        <v>4</v>
      </c>
      <c r="Q17" s="52">
        <v>7.5472000000000001</v>
      </c>
      <c r="R17" s="49">
        <v>46</v>
      </c>
      <c r="S17" s="54">
        <v>86.792000000000002</v>
      </c>
      <c r="T17" s="47">
        <v>1</v>
      </c>
      <c r="U17" s="52">
        <v>1.8868</v>
      </c>
      <c r="V17" s="47">
        <v>2</v>
      </c>
      <c r="W17" s="54">
        <v>3.7736000000000001</v>
      </c>
      <c r="X17" s="55">
        <v>3976</v>
      </c>
      <c r="Y17" s="56">
        <v>100</v>
      </c>
    </row>
    <row r="18" spans="1:25" s="22" customFormat="1" ht="15" customHeight="1" x14ac:dyDescent="0.25">
      <c r="A18" s="21" t="s">
        <v>14</v>
      </c>
      <c r="B18" s="23" t="s">
        <v>26</v>
      </c>
      <c r="C18" s="24">
        <v>184</v>
      </c>
      <c r="D18" s="34">
        <v>0</v>
      </c>
      <c r="E18" s="26">
        <v>0</v>
      </c>
      <c r="F18" s="27">
        <v>1</v>
      </c>
      <c r="G18" s="26">
        <v>0.54349999999999998</v>
      </c>
      <c r="H18" s="27">
        <v>9</v>
      </c>
      <c r="I18" s="26">
        <v>4.8913000000000002</v>
      </c>
      <c r="J18" s="27">
        <v>130</v>
      </c>
      <c r="K18" s="26">
        <v>70.652000000000001</v>
      </c>
      <c r="L18" s="27">
        <v>42</v>
      </c>
      <c r="M18" s="26">
        <v>22.826000000000001</v>
      </c>
      <c r="N18" s="27">
        <v>0</v>
      </c>
      <c r="O18" s="26">
        <v>0</v>
      </c>
      <c r="P18" s="28">
        <v>2</v>
      </c>
      <c r="Q18" s="29">
        <v>1.087</v>
      </c>
      <c r="R18" s="27">
        <v>123</v>
      </c>
      <c r="S18" s="30">
        <v>66.847999999999999</v>
      </c>
      <c r="T18" s="34">
        <v>1</v>
      </c>
      <c r="U18" s="29">
        <v>0.54349999999999998</v>
      </c>
      <c r="V18" s="25">
        <v>3</v>
      </c>
      <c r="W18" s="30">
        <v>1.6304000000000001</v>
      </c>
      <c r="X18" s="31">
        <v>2416</v>
      </c>
      <c r="Y18" s="32">
        <v>100</v>
      </c>
    </row>
    <row r="19" spans="1:25" s="22" customFormat="1" ht="15" customHeight="1" x14ac:dyDescent="0.25">
      <c r="A19" s="21" t="s">
        <v>14</v>
      </c>
      <c r="B19" s="57" t="s">
        <v>27</v>
      </c>
      <c r="C19" s="46">
        <v>0</v>
      </c>
      <c r="D19" s="47">
        <v>0</v>
      </c>
      <c r="E19" s="48">
        <v>0</v>
      </c>
      <c r="F19" s="49">
        <v>0</v>
      </c>
      <c r="G19" s="48">
        <v>0</v>
      </c>
      <c r="H19" s="49">
        <v>0</v>
      </c>
      <c r="I19" s="48">
        <v>0</v>
      </c>
      <c r="J19" s="49">
        <v>0</v>
      </c>
      <c r="K19" s="48">
        <v>0</v>
      </c>
      <c r="L19" s="49">
        <v>0</v>
      </c>
      <c r="M19" s="48">
        <v>0</v>
      </c>
      <c r="N19" s="49">
        <v>0</v>
      </c>
      <c r="O19" s="48">
        <v>0</v>
      </c>
      <c r="P19" s="51">
        <v>0</v>
      </c>
      <c r="Q19" s="52">
        <v>0</v>
      </c>
      <c r="R19" s="49">
        <v>0</v>
      </c>
      <c r="S19" s="54">
        <v>0</v>
      </c>
      <c r="T19" s="47">
        <v>0</v>
      </c>
      <c r="U19" s="52">
        <v>0</v>
      </c>
      <c r="V19" s="47">
        <v>0</v>
      </c>
      <c r="W19" s="54">
        <v>0</v>
      </c>
      <c r="X19" s="55">
        <v>292</v>
      </c>
      <c r="Y19" s="56">
        <v>100</v>
      </c>
    </row>
    <row r="20" spans="1:25" s="22" customFormat="1" ht="15" customHeight="1" x14ac:dyDescent="0.25">
      <c r="A20" s="21" t="s">
        <v>14</v>
      </c>
      <c r="B20" s="23" t="s">
        <v>29</v>
      </c>
      <c r="C20" s="36">
        <v>12</v>
      </c>
      <c r="D20" s="34">
        <v>0</v>
      </c>
      <c r="E20" s="26">
        <v>0</v>
      </c>
      <c r="F20" s="33">
        <v>0</v>
      </c>
      <c r="G20" s="26">
        <v>0</v>
      </c>
      <c r="H20" s="27">
        <v>4</v>
      </c>
      <c r="I20" s="26">
        <v>33.333300000000001</v>
      </c>
      <c r="J20" s="33">
        <v>1</v>
      </c>
      <c r="K20" s="26">
        <v>8.3330000000000002</v>
      </c>
      <c r="L20" s="33">
        <v>7</v>
      </c>
      <c r="M20" s="26">
        <v>58.332999999999998</v>
      </c>
      <c r="N20" s="33">
        <v>0</v>
      </c>
      <c r="O20" s="26">
        <v>0</v>
      </c>
      <c r="P20" s="28">
        <v>0</v>
      </c>
      <c r="Q20" s="29">
        <v>0</v>
      </c>
      <c r="R20" s="27">
        <v>2</v>
      </c>
      <c r="S20" s="30">
        <v>16.667000000000002</v>
      </c>
      <c r="T20" s="34">
        <v>0</v>
      </c>
      <c r="U20" s="29">
        <v>0</v>
      </c>
      <c r="V20" s="25">
        <v>0</v>
      </c>
      <c r="W20" s="30">
        <v>0</v>
      </c>
      <c r="X20" s="31">
        <v>725</v>
      </c>
      <c r="Y20" s="32">
        <v>100</v>
      </c>
    </row>
    <row r="21" spans="1:25" s="22" customFormat="1" ht="15" customHeight="1" x14ac:dyDescent="0.25">
      <c r="A21" s="21" t="s">
        <v>14</v>
      </c>
      <c r="B21" s="57" t="s">
        <v>30</v>
      </c>
      <c r="C21" s="46">
        <v>165</v>
      </c>
      <c r="D21" s="59">
        <v>0</v>
      </c>
      <c r="E21" s="48">
        <v>0</v>
      </c>
      <c r="F21" s="49">
        <v>0</v>
      </c>
      <c r="G21" s="48">
        <v>0</v>
      </c>
      <c r="H21" s="50">
        <v>94</v>
      </c>
      <c r="I21" s="48">
        <v>56.969700000000003</v>
      </c>
      <c r="J21" s="49">
        <v>46</v>
      </c>
      <c r="K21" s="48">
        <v>27.879000000000001</v>
      </c>
      <c r="L21" s="49">
        <v>18</v>
      </c>
      <c r="M21" s="48">
        <v>10.909000000000001</v>
      </c>
      <c r="N21" s="49">
        <v>0</v>
      </c>
      <c r="O21" s="48">
        <v>0</v>
      </c>
      <c r="P21" s="58">
        <v>7</v>
      </c>
      <c r="Q21" s="52">
        <v>4.2423999999999999</v>
      </c>
      <c r="R21" s="49">
        <v>132</v>
      </c>
      <c r="S21" s="54">
        <v>80</v>
      </c>
      <c r="T21" s="47">
        <v>3</v>
      </c>
      <c r="U21" s="52">
        <v>1.8182</v>
      </c>
      <c r="V21" s="59">
        <v>85</v>
      </c>
      <c r="W21" s="54">
        <v>51.5152</v>
      </c>
      <c r="X21" s="55">
        <v>4145</v>
      </c>
      <c r="Y21" s="56">
        <v>100</v>
      </c>
    </row>
    <row r="22" spans="1:25" s="22" customFormat="1" ht="15" customHeight="1" x14ac:dyDescent="0.25">
      <c r="A22" s="21" t="s">
        <v>14</v>
      </c>
      <c r="B22" s="23" t="s">
        <v>31</v>
      </c>
      <c r="C22" s="24">
        <v>107</v>
      </c>
      <c r="D22" s="25">
        <v>0</v>
      </c>
      <c r="E22" s="26">
        <v>0</v>
      </c>
      <c r="F22" s="33">
        <v>1</v>
      </c>
      <c r="G22" s="26">
        <v>0.93459999999999999</v>
      </c>
      <c r="H22" s="33">
        <v>10</v>
      </c>
      <c r="I22" s="26">
        <v>9.3458000000000006</v>
      </c>
      <c r="J22" s="27">
        <v>28</v>
      </c>
      <c r="K22" s="26">
        <v>26.167999999999999</v>
      </c>
      <c r="L22" s="27">
        <v>63</v>
      </c>
      <c r="M22" s="26">
        <v>58.878999999999998</v>
      </c>
      <c r="N22" s="27">
        <v>0</v>
      </c>
      <c r="O22" s="26">
        <v>0</v>
      </c>
      <c r="P22" s="35">
        <v>5</v>
      </c>
      <c r="Q22" s="29">
        <v>4.6729000000000003</v>
      </c>
      <c r="R22" s="27">
        <v>44</v>
      </c>
      <c r="S22" s="30">
        <v>41.121000000000002</v>
      </c>
      <c r="T22" s="34">
        <v>0</v>
      </c>
      <c r="U22" s="29">
        <v>0</v>
      </c>
      <c r="V22" s="34">
        <v>5</v>
      </c>
      <c r="W22" s="30">
        <v>4.6729000000000003</v>
      </c>
      <c r="X22" s="31">
        <v>1886</v>
      </c>
      <c r="Y22" s="32">
        <v>100</v>
      </c>
    </row>
    <row r="23" spans="1:25" s="22" customFormat="1" ht="15" customHeight="1" x14ac:dyDescent="0.25">
      <c r="A23" s="21" t="s">
        <v>14</v>
      </c>
      <c r="B23" s="57" t="s">
        <v>28</v>
      </c>
      <c r="C23" s="46">
        <v>2</v>
      </c>
      <c r="D23" s="47">
        <v>0</v>
      </c>
      <c r="E23" s="48">
        <v>0</v>
      </c>
      <c r="F23" s="49">
        <v>0</v>
      </c>
      <c r="G23" s="48">
        <v>0</v>
      </c>
      <c r="H23" s="49">
        <v>0</v>
      </c>
      <c r="I23" s="48">
        <v>0</v>
      </c>
      <c r="J23" s="49">
        <v>0</v>
      </c>
      <c r="K23" s="48">
        <v>0</v>
      </c>
      <c r="L23" s="49">
        <v>2</v>
      </c>
      <c r="M23" s="48">
        <v>100</v>
      </c>
      <c r="N23" s="49">
        <v>0</v>
      </c>
      <c r="O23" s="48">
        <v>0</v>
      </c>
      <c r="P23" s="58">
        <v>0</v>
      </c>
      <c r="Q23" s="52">
        <v>0</v>
      </c>
      <c r="R23" s="49">
        <v>0</v>
      </c>
      <c r="S23" s="54">
        <v>0</v>
      </c>
      <c r="T23" s="59">
        <v>0</v>
      </c>
      <c r="U23" s="52">
        <v>0</v>
      </c>
      <c r="V23" s="47">
        <v>0</v>
      </c>
      <c r="W23" s="54">
        <v>0</v>
      </c>
      <c r="X23" s="55">
        <v>1343</v>
      </c>
      <c r="Y23" s="56">
        <v>100</v>
      </c>
    </row>
    <row r="24" spans="1:25" s="22" customFormat="1" ht="15" customHeight="1" x14ac:dyDescent="0.25">
      <c r="A24" s="21" t="s">
        <v>14</v>
      </c>
      <c r="B24" s="23" t="s">
        <v>32</v>
      </c>
      <c r="C24" s="24">
        <v>36</v>
      </c>
      <c r="D24" s="34">
        <v>1</v>
      </c>
      <c r="E24" s="26">
        <v>2.778</v>
      </c>
      <c r="F24" s="27">
        <v>0</v>
      </c>
      <c r="G24" s="26">
        <v>0</v>
      </c>
      <c r="H24" s="33">
        <v>12</v>
      </c>
      <c r="I24" s="26">
        <v>33.333300000000001</v>
      </c>
      <c r="J24" s="27">
        <v>15</v>
      </c>
      <c r="K24" s="26">
        <v>41.667000000000002</v>
      </c>
      <c r="L24" s="27">
        <v>8</v>
      </c>
      <c r="M24" s="26">
        <v>22.222000000000001</v>
      </c>
      <c r="N24" s="27">
        <v>0</v>
      </c>
      <c r="O24" s="26">
        <v>0</v>
      </c>
      <c r="P24" s="35">
        <v>0</v>
      </c>
      <c r="Q24" s="29">
        <v>0</v>
      </c>
      <c r="R24" s="27">
        <v>12</v>
      </c>
      <c r="S24" s="30">
        <v>33.332999999999998</v>
      </c>
      <c r="T24" s="34">
        <v>0</v>
      </c>
      <c r="U24" s="29">
        <v>0</v>
      </c>
      <c r="V24" s="25">
        <v>0</v>
      </c>
      <c r="W24" s="30">
        <v>0</v>
      </c>
      <c r="X24" s="31">
        <v>1350</v>
      </c>
      <c r="Y24" s="32">
        <v>100</v>
      </c>
    </row>
    <row r="25" spans="1:25" s="22" customFormat="1" ht="15" customHeight="1" x14ac:dyDescent="0.25">
      <c r="A25" s="21" t="s">
        <v>14</v>
      </c>
      <c r="B25" s="57" t="s">
        <v>33</v>
      </c>
      <c r="C25" s="60">
        <v>2</v>
      </c>
      <c r="D25" s="47">
        <v>0</v>
      </c>
      <c r="E25" s="48">
        <v>0</v>
      </c>
      <c r="F25" s="49">
        <v>0</v>
      </c>
      <c r="G25" s="48">
        <v>0</v>
      </c>
      <c r="H25" s="49">
        <v>0</v>
      </c>
      <c r="I25" s="48">
        <v>0</v>
      </c>
      <c r="J25" s="49">
        <v>0</v>
      </c>
      <c r="K25" s="48">
        <v>0</v>
      </c>
      <c r="L25" s="50">
        <v>2</v>
      </c>
      <c r="M25" s="48">
        <v>100</v>
      </c>
      <c r="N25" s="49">
        <v>0</v>
      </c>
      <c r="O25" s="48">
        <v>0</v>
      </c>
      <c r="P25" s="58">
        <v>0</v>
      </c>
      <c r="Q25" s="52">
        <v>0</v>
      </c>
      <c r="R25" s="49">
        <v>2</v>
      </c>
      <c r="S25" s="54">
        <v>100</v>
      </c>
      <c r="T25" s="47">
        <v>0</v>
      </c>
      <c r="U25" s="52">
        <v>0</v>
      </c>
      <c r="V25" s="47">
        <v>0</v>
      </c>
      <c r="W25" s="54">
        <v>0</v>
      </c>
      <c r="X25" s="55">
        <v>1401</v>
      </c>
      <c r="Y25" s="56">
        <v>100</v>
      </c>
    </row>
    <row r="26" spans="1:25" s="22" customFormat="1" ht="15" customHeight="1" x14ac:dyDescent="0.25">
      <c r="A26" s="21" t="s">
        <v>14</v>
      </c>
      <c r="B26" s="23" t="s">
        <v>34</v>
      </c>
      <c r="C26" s="24">
        <v>2</v>
      </c>
      <c r="D26" s="25">
        <v>0</v>
      </c>
      <c r="E26" s="26">
        <v>0</v>
      </c>
      <c r="F26" s="33">
        <v>0</v>
      </c>
      <c r="G26" s="26">
        <v>0</v>
      </c>
      <c r="H26" s="33">
        <v>0</v>
      </c>
      <c r="I26" s="26">
        <v>0</v>
      </c>
      <c r="J26" s="27">
        <v>2</v>
      </c>
      <c r="K26" s="26">
        <v>100</v>
      </c>
      <c r="L26" s="27">
        <v>0</v>
      </c>
      <c r="M26" s="26">
        <v>0</v>
      </c>
      <c r="N26" s="33">
        <v>0</v>
      </c>
      <c r="O26" s="26">
        <v>0</v>
      </c>
      <c r="P26" s="35">
        <v>0</v>
      </c>
      <c r="Q26" s="29">
        <v>0</v>
      </c>
      <c r="R26" s="27">
        <v>1</v>
      </c>
      <c r="S26" s="30">
        <v>50</v>
      </c>
      <c r="T26" s="25">
        <v>0</v>
      </c>
      <c r="U26" s="29">
        <v>0</v>
      </c>
      <c r="V26" s="25">
        <v>0</v>
      </c>
      <c r="W26" s="30">
        <v>0</v>
      </c>
      <c r="X26" s="31">
        <v>1365</v>
      </c>
      <c r="Y26" s="32">
        <v>100</v>
      </c>
    </row>
    <row r="27" spans="1:25" s="22" customFormat="1" ht="15" customHeight="1" x14ac:dyDescent="0.25">
      <c r="A27" s="21" t="s">
        <v>14</v>
      </c>
      <c r="B27" s="57" t="s">
        <v>37</v>
      </c>
      <c r="C27" s="60">
        <v>22</v>
      </c>
      <c r="D27" s="59">
        <v>0</v>
      </c>
      <c r="E27" s="48">
        <v>0</v>
      </c>
      <c r="F27" s="49">
        <v>0</v>
      </c>
      <c r="G27" s="48">
        <v>0</v>
      </c>
      <c r="H27" s="49">
        <v>0</v>
      </c>
      <c r="I27" s="48">
        <v>0</v>
      </c>
      <c r="J27" s="49">
        <v>0</v>
      </c>
      <c r="K27" s="48">
        <v>0</v>
      </c>
      <c r="L27" s="50">
        <v>22</v>
      </c>
      <c r="M27" s="48">
        <v>100</v>
      </c>
      <c r="N27" s="49">
        <v>0</v>
      </c>
      <c r="O27" s="48">
        <v>0</v>
      </c>
      <c r="P27" s="58">
        <v>0</v>
      </c>
      <c r="Q27" s="52">
        <v>0</v>
      </c>
      <c r="R27" s="49">
        <v>22</v>
      </c>
      <c r="S27" s="54">
        <v>100</v>
      </c>
      <c r="T27" s="59">
        <v>1</v>
      </c>
      <c r="U27" s="52">
        <v>4.5454999999999997</v>
      </c>
      <c r="V27" s="47">
        <v>0</v>
      </c>
      <c r="W27" s="54">
        <v>0</v>
      </c>
      <c r="X27" s="55">
        <v>579</v>
      </c>
      <c r="Y27" s="56">
        <v>100</v>
      </c>
    </row>
    <row r="28" spans="1:25" s="22" customFormat="1" ht="15" customHeight="1" x14ac:dyDescent="0.25">
      <c r="A28" s="21" t="s">
        <v>14</v>
      </c>
      <c r="B28" s="23" t="s">
        <v>36</v>
      </c>
      <c r="C28" s="36">
        <v>1</v>
      </c>
      <c r="D28" s="34">
        <v>0</v>
      </c>
      <c r="E28" s="26">
        <v>0</v>
      </c>
      <c r="F28" s="27">
        <v>0</v>
      </c>
      <c r="G28" s="26">
        <v>0</v>
      </c>
      <c r="H28" s="27">
        <v>0</v>
      </c>
      <c r="I28" s="26">
        <v>0</v>
      </c>
      <c r="J28" s="27">
        <v>0</v>
      </c>
      <c r="K28" s="26">
        <v>0</v>
      </c>
      <c r="L28" s="33">
        <v>1</v>
      </c>
      <c r="M28" s="26">
        <v>100</v>
      </c>
      <c r="N28" s="27">
        <v>0</v>
      </c>
      <c r="O28" s="26">
        <v>0</v>
      </c>
      <c r="P28" s="28">
        <v>0</v>
      </c>
      <c r="Q28" s="29">
        <v>0</v>
      </c>
      <c r="R28" s="27">
        <v>1</v>
      </c>
      <c r="S28" s="30">
        <v>100</v>
      </c>
      <c r="T28" s="25">
        <v>0</v>
      </c>
      <c r="U28" s="29">
        <v>0</v>
      </c>
      <c r="V28" s="34">
        <v>0</v>
      </c>
      <c r="W28" s="30">
        <v>0</v>
      </c>
      <c r="X28" s="31">
        <v>1414</v>
      </c>
      <c r="Y28" s="32">
        <v>100</v>
      </c>
    </row>
    <row r="29" spans="1:25" s="22" customFormat="1" ht="15" customHeight="1" x14ac:dyDescent="0.25">
      <c r="A29" s="21" t="s">
        <v>14</v>
      </c>
      <c r="B29" s="57" t="s">
        <v>35</v>
      </c>
      <c r="C29" s="46">
        <v>30</v>
      </c>
      <c r="D29" s="47">
        <v>0</v>
      </c>
      <c r="E29" s="48">
        <v>0</v>
      </c>
      <c r="F29" s="49">
        <v>0</v>
      </c>
      <c r="G29" s="48">
        <v>0</v>
      </c>
      <c r="H29" s="50">
        <v>8</v>
      </c>
      <c r="I29" s="48">
        <v>26.666699999999999</v>
      </c>
      <c r="J29" s="49">
        <v>11</v>
      </c>
      <c r="K29" s="48">
        <v>36.667000000000002</v>
      </c>
      <c r="L29" s="50">
        <v>11</v>
      </c>
      <c r="M29" s="48">
        <v>36.667000000000002</v>
      </c>
      <c r="N29" s="49">
        <v>0</v>
      </c>
      <c r="O29" s="48">
        <v>0</v>
      </c>
      <c r="P29" s="58">
        <v>0</v>
      </c>
      <c r="Q29" s="52">
        <v>0</v>
      </c>
      <c r="R29" s="49">
        <v>22</v>
      </c>
      <c r="S29" s="54">
        <v>73.332999999999998</v>
      </c>
      <c r="T29" s="47">
        <v>3</v>
      </c>
      <c r="U29" s="52">
        <v>10</v>
      </c>
      <c r="V29" s="47">
        <v>4</v>
      </c>
      <c r="W29" s="54">
        <v>13.333299999999999</v>
      </c>
      <c r="X29" s="55">
        <v>1870</v>
      </c>
      <c r="Y29" s="56">
        <v>99.465000000000003</v>
      </c>
    </row>
    <row r="30" spans="1:25" s="22" customFormat="1" ht="15" customHeight="1" x14ac:dyDescent="0.25">
      <c r="A30" s="21" t="s">
        <v>14</v>
      </c>
      <c r="B30" s="23" t="s">
        <v>38</v>
      </c>
      <c r="C30" s="24">
        <v>51</v>
      </c>
      <c r="D30" s="34">
        <v>0</v>
      </c>
      <c r="E30" s="26">
        <v>0</v>
      </c>
      <c r="F30" s="33">
        <v>0</v>
      </c>
      <c r="G30" s="26">
        <v>0</v>
      </c>
      <c r="H30" s="27">
        <v>1</v>
      </c>
      <c r="I30" s="26">
        <v>1.9608000000000001</v>
      </c>
      <c r="J30" s="27">
        <v>31</v>
      </c>
      <c r="K30" s="26">
        <v>60.783999999999999</v>
      </c>
      <c r="L30" s="27">
        <v>19</v>
      </c>
      <c r="M30" s="26">
        <v>37.255000000000003</v>
      </c>
      <c r="N30" s="27">
        <v>0</v>
      </c>
      <c r="O30" s="26">
        <v>0</v>
      </c>
      <c r="P30" s="28">
        <v>0</v>
      </c>
      <c r="Q30" s="29">
        <v>0</v>
      </c>
      <c r="R30" s="27">
        <v>36</v>
      </c>
      <c r="S30" s="30">
        <v>70.587999999999994</v>
      </c>
      <c r="T30" s="25">
        <v>0</v>
      </c>
      <c r="U30" s="29">
        <v>0</v>
      </c>
      <c r="V30" s="34">
        <v>1</v>
      </c>
      <c r="W30" s="30">
        <v>1.9608000000000001</v>
      </c>
      <c r="X30" s="31">
        <v>3559</v>
      </c>
      <c r="Y30" s="32">
        <v>100</v>
      </c>
    </row>
    <row r="31" spans="1:25" s="22" customFormat="1" ht="15" customHeight="1" x14ac:dyDescent="0.25">
      <c r="A31" s="21" t="s">
        <v>14</v>
      </c>
      <c r="B31" s="57" t="s">
        <v>39</v>
      </c>
      <c r="C31" s="60">
        <v>12</v>
      </c>
      <c r="D31" s="47">
        <v>0</v>
      </c>
      <c r="E31" s="48">
        <v>0</v>
      </c>
      <c r="F31" s="50">
        <v>0</v>
      </c>
      <c r="G31" s="48">
        <v>0</v>
      </c>
      <c r="H31" s="49">
        <v>1</v>
      </c>
      <c r="I31" s="48">
        <v>8.3332999999999995</v>
      </c>
      <c r="J31" s="50">
        <v>10</v>
      </c>
      <c r="K31" s="48">
        <v>83.332999999999998</v>
      </c>
      <c r="L31" s="49">
        <v>1</v>
      </c>
      <c r="M31" s="48">
        <v>8.3330000000000002</v>
      </c>
      <c r="N31" s="49">
        <v>0</v>
      </c>
      <c r="O31" s="48">
        <v>0</v>
      </c>
      <c r="P31" s="51">
        <v>0</v>
      </c>
      <c r="Q31" s="52">
        <v>0</v>
      </c>
      <c r="R31" s="49">
        <v>4</v>
      </c>
      <c r="S31" s="54">
        <v>33.332999999999998</v>
      </c>
      <c r="T31" s="47">
        <v>0</v>
      </c>
      <c r="U31" s="52">
        <v>0</v>
      </c>
      <c r="V31" s="59">
        <v>1</v>
      </c>
      <c r="W31" s="54">
        <v>8.3332999999999995</v>
      </c>
      <c r="X31" s="55">
        <v>2232</v>
      </c>
      <c r="Y31" s="56">
        <v>100</v>
      </c>
    </row>
    <row r="32" spans="1:25" s="22" customFormat="1" ht="15" customHeight="1" x14ac:dyDescent="0.25">
      <c r="A32" s="21" t="s">
        <v>14</v>
      </c>
      <c r="B32" s="23" t="s">
        <v>41</v>
      </c>
      <c r="C32" s="24">
        <v>96</v>
      </c>
      <c r="D32" s="25">
        <v>1</v>
      </c>
      <c r="E32" s="26">
        <v>1.042</v>
      </c>
      <c r="F32" s="27">
        <v>0</v>
      </c>
      <c r="G32" s="26">
        <v>0</v>
      </c>
      <c r="H32" s="27">
        <v>3</v>
      </c>
      <c r="I32" s="26">
        <v>3.125</v>
      </c>
      <c r="J32" s="27">
        <v>38</v>
      </c>
      <c r="K32" s="26">
        <v>39.582999999999998</v>
      </c>
      <c r="L32" s="33">
        <v>53</v>
      </c>
      <c r="M32" s="26">
        <v>55.207999999999998</v>
      </c>
      <c r="N32" s="33">
        <v>0</v>
      </c>
      <c r="O32" s="26">
        <v>0</v>
      </c>
      <c r="P32" s="35">
        <v>1</v>
      </c>
      <c r="Q32" s="29">
        <v>1.0417000000000001</v>
      </c>
      <c r="R32" s="27">
        <v>29</v>
      </c>
      <c r="S32" s="30">
        <v>30.207999999999998</v>
      </c>
      <c r="T32" s="34">
        <v>0</v>
      </c>
      <c r="U32" s="29">
        <v>0</v>
      </c>
      <c r="V32" s="25">
        <v>1</v>
      </c>
      <c r="W32" s="30">
        <v>1.0417000000000001</v>
      </c>
      <c r="X32" s="31">
        <v>960</v>
      </c>
      <c r="Y32" s="32">
        <v>100</v>
      </c>
    </row>
    <row r="33" spans="1:25" s="22" customFormat="1" ht="15" customHeight="1" x14ac:dyDescent="0.25">
      <c r="A33" s="21" t="s">
        <v>14</v>
      </c>
      <c r="B33" s="57" t="s">
        <v>40</v>
      </c>
      <c r="C33" s="46">
        <v>62</v>
      </c>
      <c r="D33" s="59">
        <v>0</v>
      </c>
      <c r="E33" s="48">
        <v>0</v>
      </c>
      <c r="F33" s="49">
        <v>0</v>
      </c>
      <c r="G33" s="48">
        <v>0</v>
      </c>
      <c r="H33" s="50">
        <v>1</v>
      </c>
      <c r="I33" s="48">
        <v>1.6129</v>
      </c>
      <c r="J33" s="49">
        <v>29</v>
      </c>
      <c r="K33" s="48">
        <v>46.774000000000001</v>
      </c>
      <c r="L33" s="49">
        <v>31</v>
      </c>
      <c r="M33" s="48">
        <v>50</v>
      </c>
      <c r="N33" s="50">
        <v>0</v>
      </c>
      <c r="O33" s="48">
        <v>0</v>
      </c>
      <c r="P33" s="58">
        <v>1</v>
      </c>
      <c r="Q33" s="52">
        <v>1.6129</v>
      </c>
      <c r="R33" s="49">
        <v>27</v>
      </c>
      <c r="S33" s="54">
        <v>43.548000000000002</v>
      </c>
      <c r="T33" s="59">
        <v>1</v>
      </c>
      <c r="U33" s="52">
        <v>1.6129</v>
      </c>
      <c r="V33" s="59">
        <v>0</v>
      </c>
      <c r="W33" s="54">
        <v>0</v>
      </c>
      <c r="X33" s="55">
        <v>2381</v>
      </c>
      <c r="Y33" s="56">
        <v>100</v>
      </c>
    </row>
    <row r="34" spans="1:25" s="22" customFormat="1" ht="15" customHeight="1" x14ac:dyDescent="0.25">
      <c r="A34" s="21" t="s">
        <v>14</v>
      </c>
      <c r="B34" s="23" t="s">
        <v>42</v>
      </c>
      <c r="C34" s="36">
        <v>8</v>
      </c>
      <c r="D34" s="25">
        <v>1</v>
      </c>
      <c r="E34" s="26">
        <v>12.5</v>
      </c>
      <c r="F34" s="27">
        <v>0</v>
      </c>
      <c r="G34" s="26">
        <v>0</v>
      </c>
      <c r="H34" s="33">
        <v>0</v>
      </c>
      <c r="I34" s="26">
        <v>0</v>
      </c>
      <c r="J34" s="27">
        <v>1</v>
      </c>
      <c r="K34" s="26">
        <v>12.5</v>
      </c>
      <c r="L34" s="33">
        <v>3</v>
      </c>
      <c r="M34" s="26">
        <v>37.5</v>
      </c>
      <c r="N34" s="33">
        <v>0</v>
      </c>
      <c r="O34" s="26">
        <v>0</v>
      </c>
      <c r="P34" s="28">
        <v>3</v>
      </c>
      <c r="Q34" s="29">
        <v>37.5</v>
      </c>
      <c r="R34" s="27">
        <v>4</v>
      </c>
      <c r="S34" s="30">
        <v>50</v>
      </c>
      <c r="T34" s="34">
        <v>0</v>
      </c>
      <c r="U34" s="29">
        <v>0</v>
      </c>
      <c r="V34" s="34">
        <v>0</v>
      </c>
      <c r="W34" s="30">
        <v>0</v>
      </c>
      <c r="X34" s="31">
        <v>823</v>
      </c>
      <c r="Y34" s="32">
        <v>96.233000000000004</v>
      </c>
    </row>
    <row r="35" spans="1:25" s="22" customFormat="1" ht="15" customHeight="1" x14ac:dyDescent="0.25">
      <c r="A35" s="21" t="s">
        <v>14</v>
      </c>
      <c r="B35" s="57" t="s">
        <v>45</v>
      </c>
      <c r="C35" s="60">
        <v>17</v>
      </c>
      <c r="D35" s="59">
        <v>2</v>
      </c>
      <c r="E35" s="48">
        <v>11.765000000000001</v>
      </c>
      <c r="F35" s="49">
        <v>1</v>
      </c>
      <c r="G35" s="48">
        <v>5.8823999999999996</v>
      </c>
      <c r="H35" s="50">
        <v>2</v>
      </c>
      <c r="I35" s="48">
        <v>11.764699999999999</v>
      </c>
      <c r="J35" s="49">
        <v>2</v>
      </c>
      <c r="K35" s="48">
        <v>11.765000000000001</v>
      </c>
      <c r="L35" s="50">
        <v>10</v>
      </c>
      <c r="M35" s="48">
        <v>58.823999999999998</v>
      </c>
      <c r="N35" s="49">
        <v>0</v>
      </c>
      <c r="O35" s="48">
        <v>0</v>
      </c>
      <c r="P35" s="58">
        <v>0</v>
      </c>
      <c r="Q35" s="52">
        <v>0</v>
      </c>
      <c r="R35" s="49">
        <v>14</v>
      </c>
      <c r="S35" s="54">
        <v>82.352999999999994</v>
      </c>
      <c r="T35" s="59">
        <v>0</v>
      </c>
      <c r="U35" s="52">
        <v>0</v>
      </c>
      <c r="V35" s="59">
        <v>0</v>
      </c>
      <c r="W35" s="54">
        <v>0</v>
      </c>
      <c r="X35" s="55">
        <v>1055</v>
      </c>
      <c r="Y35" s="56">
        <v>100</v>
      </c>
    </row>
    <row r="36" spans="1:25" s="22" customFormat="1" ht="15" customHeight="1" x14ac:dyDescent="0.25">
      <c r="A36" s="21" t="s">
        <v>14</v>
      </c>
      <c r="B36" s="23" t="s">
        <v>49</v>
      </c>
      <c r="C36" s="36">
        <v>36</v>
      </c>
      <c r="D36" s="34">
        <v>0</v>
      </c>
      <c r="E36" s="26">
        <v>0</v>
      </c>
      <c r="F36" s="27">
        <v>3</v>
      </c>
      <c r="G36" s="26">
        <v>8.3332999999999995</v>
      </c>
      <c r="H36" s="27">
        <v>16</v>
      </c>
      <c r="I36" s="26">
        <v>44.444400000000002</v>
      </c>
      <c r="J36" s="33">
        <v>3</v>
      </c>
      <c r="K36" s="26">
        <v>8.3330000000000002</v>
      </c>
      <c r="L36" s="33">
        <v>12</v>
      </c>
      <c r="M36" s="26">
        <v>33.332999999999998</v>
      </c>
      <c r="N36" s="27">
        <v>0</v>
      </c>
      <c r="O36" s="26">
        <v>0</v>
      </c>
      <c r="P36" s="35">
        <v>2</v>
      </c>
      <c r="Q36" s="29">
        <v>5.5556000000000001</v>
      </c>
      <c r="R36" s="27">
        <v>15</v>
      </c>
      <c r="S36" s="30">
        <v>41.667000000000002</v>
      </c>
      <c r="T36" s="34">
        <v>0</v>
      </c>
      <c r="U36" s="29">
        <v>0</v>
      </c>
      <c r="V36" s="25">
        <v>0</v>
      </c>
      <c r="W36" s="30">
        <v>0</v>
      </c>
      <c r="X36" s="31">
        <v>704</v>
      </c>
      <c r="Y36" s="32">
        <v>100</v>
      </c>
    </row>
    <row r="37" spans="1:25" s="22" customFormat="1" ht="15" customHeight="1" x14ac:dyDescent="0.25">
      <c r="A37" s="21" t="s">
        <v>14</v>
      </c>
      <c r="B37" s="57" t="s">
        <v>46</v>
      </c>
      <c r="C37" s="46">
        <v>5</v>
      </c>
      <c r="D37" s="47">
        <v>0</v>
      </c>
      <c r="E37" s="48">
        <v>0</v>
      </c>
      <c r="F37" s="49">
        <v>0</v>
      </c>
      <c r="G37" s="48">
        <v>0</v>
      </c>
      <c r="H37" s="49">
        <v>0</v>
      </c>
      <c r="I37" s="48">
        <v>0</v>
      </c>
      <c r="J37" s="49">
        <v>1</v>
      </c>
      <c r="K37" s="48">
        <v>20</v>
      </c>
      <c r="L37" s="49">
        <v>4</v>
      </c>
      <c r="M37" s="48">
        <v>80</v>
      </c>
      <c r="N37" s="50">
        <v>0</v>
      </c>
      <c r="O37" s="48">
        <v>0</v>
      </c>
      <c r="P37" s="58">
        <v>0</v>
      </c>
      <c r="Q37" s="52">
        <v>0</v>
      </c>
      <c r="R37" s="49">
        <v>4</v>
      </c>
      <c r="S37" s="54">
        <v>80</v>
      </c>
      <c r="T37" s="59">
        <v>0</v>
      </c>
      <c r="U37" s="52">
        <v>0</v>
      </c>
      <c r="V37" s="47">
        <v>0</v>
      </c>
      <c r="W37" s="54">
        <v>0</v>
      </c>
      <c r="X37" s="55">
        <v>491</v>
      </c>
      <c r="Y37" s="56">
        <v>100</v>
      </c>
    </row>
    <row r="38" spans="1:25" s="22" customFormat="1" ht="15" customHeight="1" x14ac:dyDescent="0.25">
      <c r="A38" s="21" t="s">
        <v>14</v>
      </c>
      <c r="B38" s="23" t="s">
        <v>47</v>
      </c>
      <c r="C38" s="24">
        <v>42</v>
      </c>
      <c r="D38" s="25">
        <v>0</v>
      </c>
      <c r="E38" s="26">
        <v>0</v>
      </c>
      <c r="F38" s="27">
        <v>5</v>
      </c>
      <c r="G38" s="26">
        <v>11.9048</v>
      </c>
      <c r="H38" s="27">
        <v>10</v>
      </c>
      <c r="I38" s="26">
        <v>23.8095</v>
      </c>
      <c r="J38" s="27">
        <v>20</v>
      </c>
      <c r="K38" s="26">
        <v>47.619</v>
      </c>
      <c r="L38" s="27">
        <v>7</v>
      </c>
      <c r="M38" s="26">
        <v>16.667000000000002</v>
      </c>
      <c r="N38" s="27">
        <v>0</v>
      </c>
      <c r="O38" s="26">
        <v>0</v>
      </c>
      <c r="P38" s="28">
        <v>0</v>
      </c>
      <c r="Q38" s="29">
        <v>0</v>
      </c>
      <c r="R38" s="27">
        <v>24</v>
      </c>
      <c r="S38" s="30">
        <v>57.143000000000001</v>
      </c>
      <c r="T38" s="34">
        <v>2</v>
      </c>
      <c r="U38" s="29">
        <v>4.7618999999999998</v>
      </c>
      <c r="V38" s="25">
        <v>3</v>
      </c>
      <c r="W38" s="30">
        <v>7.1429</v>
      </c>
      <c r="X38" s="31">
        <v>2561</v>
      </c>
      <c r="Y38" s="32">
        <v>100</v>
      </c>
    </row>
    <row r="39" spans="1:25" s="22" customFormat="1" ht="15" customHeight="1" x14ac:dyDescent="0.25">
      <c r="A39" s="21" t="s">
        <v>14</v>
      </c>
      <c r="B39" s="57" t="s">
        <v>48</v>
      </c>
      <c r="C39" s="46">
        <v>1</v>
      </c>
      <c r="D39" s="59">
        <v>1</v>
      </c>
      <c r="E39" s="48">
        <v>100</v>
      </c>
      <c r="F39" s="49">
        <v>0</v>
      </c>
      <c r="G39" s="48">
        <v>0</v>
      </c>
      <c r="H39" s="50">
        <v>0</v>
      </c>
      <c r="I39" s="48">
        <v>0</v>
      </c>
      <c r="J39" s="49">
        <v>0</v>
      </c>
      <c r="K39" s="48">
        <v>0</v>
      </c>
      <c r="L39" s="50">
        <v>0</v>
      </c>
      <c r="M39" s="48">
        <v>0</v>
      </c>
      <c r="N39" s="49">
        <v>0</v>
      </c>
      <c r="O39" s="48">
        <v>0</v>
      </c>
      <c r="P39" s="58">
        <v>0</v>
      </c>
      <c r="Q39" s="52">
        <v>0</v>
      </c>
      <c r="R39" s="49">
        <v>1</v>
      </c>
      <c r="S39" s="54">
        <v>100</v>
      </c>
      <c r="T39" s="47">
        <v>0</v>
      </c>
      <c r="U39" s="52">
        <v>0</v>
      </c>
      <c r="V39" s="47">
        <v>0</v>
      </c>
      <c r="W39" s="54">
        <v>0</v>
      </c>
      <c r="X39" s="55">
        <v>866</v>
      </c>
      <c r="Y39" s="56">
        <v>100</v>
      </c>
    </row>
    <row r="40" spans="1:25" s="22" customFormat="1" ht="15" customHeight="1" x14ac:dyDescent="0.25">
      <c r="A40" s="21" t="s">
        <v>14</v>
      </c>
      <c r="B40" s="23" t="s">
        <v>50</v>
      </c>
      <c r="C40" s="36">
        <v>8</v>
      </c>
      <c r="D40" s="25">
        <v>0</v>
      </c>
      <c r="E40" s="26">
        <v>0</v>
      </c>
      <c r="F40" s="27">
        <v>0</v>
      </c>
      <c r="G40" s="26">
        <v>0</v>
      </c>
      <c r="H40" s="27">
        <v>0</v>
      </c>
      <c r="I40" s="26">
        <v>0</v>
      </c>
      <c r="J40" s="33">
        <v>4</v>
      </c>
      <c r="K40" s="26">
        <v>50</v>
      </c>
      <c r="L40" s="33">
        <v>4</v>
      </c>
      <c r="M40" s="26">
        <v>50</v>
      </c>
      <c r="N40" s="27">
        <v>0</v>
      </c>
      <c r="O40" s="26">
        <v>0</v>
      </c>
      <c r="P40" s="28">
        <v>0</v>
      </c>
      <c r="Q40" s="29">
        <v>0</v>
      </c>
      <c r="R40" s="27">
        <v>4</v>
      </c>
      <c r="S40" s="30">
        <v>50</v>
      </c>
      <c r="T40" s="34">
        <v>1</v>
      </c>
      <c r="U40" s="29">
        <v>12.5</v>
      </c>
      <c r="V40" s="25">
        <v>0</v>
      </c>
      <c r="W40" s="30">
        <v>0</v>
      </c>
      <c r="X40" s="31">
        <v>4873</v>
      </c>
      <c r="Y40" s="32">
        <v>100</v>
      </c>
    </row>
    <row r="41" spans="1:25" s="22" customFormat="1" ht="15" customHeight="1" x14ac:dyDescent="0.25">
      <c r="A41" s="21" t="s">
        <v>14</v>
      </c>
      <c r="B41" s="57" t="s">
        <v>43</v>
      </c>
      <c r="C41" s="46">
        <v>41</v>
      </c>
      <c r="D41" s="59">
        <v>0</v>
      </c>
      <c r="E41" s="48">
        <v>0</v>
      </c>
      <c r="F41" s="49">
        <v>0</v>
      </c>
      <c r="G41" s="48">
        <v>0</v>
      </c>
      <c r="H41" s="49">
        <v>5</v>
      </c>
      <c r="I41" s="48">
        <v>12.1951</v>
      </c>
      <c r="J41" s="49">
        <v>32</v>
      </c>
      <c r="K41" s="48">
        <v>78.049000000000007</v>
      </c>
      <c r="L41" s="50">
        <v>3</v>
      </c>
      <c r="M41" s="48">
        <v>7.3170000000000002</v>
      </c>
      <c r="N41" s="50">
        <v>0</v>
      </c>
      <c r="O41" s="48">
        <v>0</v>
      </c>
      <c r="P41" s="51">
        <v>1</v>
      </c>
      <c r="Q41" s="52">
        <v>2.4390000000000001</v>
      </c>
      <c r="R41" s="49">
        <v>19</v>
      </c>
      <c r="S41" s="54">
        <v>46.341000000000001</v>
      </c>
      <c r="T41" s="47">
        <v>2</v>
      </c>
      <c r="U41" s="52">
        <v>4.8780000000000001</v>
      </c>
      <c r="V41" s="59">
        <v>0</v>
      </c>
      <c r="W41" s="54">
        <v>0</v>
      </c>
      <c r="X41" s="55">
        <v>2661</v>
      </c>
      <c r="Y41" s="56">
        <v>100</v>
      </c>
    </row>
    <row r="42" spans="1:25" s="22" customFormat="1" ht="15" customHeight="1" x14ac:dyDescent="0.25">
      <c r="A42" s="21" t="s">
        <v>14</v>
      </c>
      <c r="B42" s="23" t="s">
        <v>44</v>
      </c>
      <c r="C42" s="36">
        <v>7</v>
      </c>
      <c r="D42" s="25">
        <v>1</v>
      </c>
      <c r="E42" s="26">
        <v>14.286</v>
      </c>
      <c r="F42" s="27">
        <v>0</v>
      </c>
      <c r="G42" s="26">
        <v>0</v>
      </c>
      <c r="H42" s="27">
        <v>1</v>
      </c>
      <c r="I42" s="26">
        <v>14.2857</v>
      </c>
      <c r="J42" s="33">
        <v>0</v>
      </c>
      <c r="K42" s="26">
        <v>0</v>
      </c>
      <c r="L42" s="33">
        <v>5</v>
      </c>
      <c r="M42" s="26">
        <v>71.429000000000002</v>
      </c>
      <c r="N42" s="33">
        <v>0</v>
      </c>
      <c r="O42" s="26">
        <v>0</v>
      </c>
      <c r="P42" s="28">
        <v>0</v>
      </c>
      <c r="Q42" s="29">
        <v>0</v>
      </c>
      <c r="R42" s="27">
        <v>1</v>
      </c>
      <c r="S42" s="30">
        <v>14.286</v>
      </c>
      <c r="T42" s="34">
        <v>0</v>
      </c>
      <c r="U42" s="29">
        <v>0</v>
      </c>
      <c r="V42" s="25">
        <v>0</v>
      </c>
      <c r="W42" s="30">
        <v>0</v>
      </c>
      <c r="X42" s="31">
        <v>483</v>
      </c>
      <c r="Y42" s="32">
        <v>100</v>
      </c>
    </row>
    <row r="43" spans="1:25" s="22" customFormat="1" ht="15" customHeight="1" x14ac:dyDescent="0.25">
      <c r="A43" s="21" t="s">
        <v>14</v>
      </c>
      <c r="B43" s="57" t="s">
        <v>51</v>
      </c>
      <c r="C43" s="46">
        <v>53</v>
      </c>
      <c r="D43" s="47">
        <v>0</v>
      </c>
      <c r="E43" s="48">
        <v>0</v>
      </c>
      <c r="F43" s="49">
        <v>0</v>
      </c>
      <c r="G43" s="48">
        <v>0</v>
      </c>
      <c r="H43" s="50">
        <v>0</v>
      </c>
      <c r="I43" s="48">
        <v>0</v>
      </c>
      <c r="J43" s="49">
        <v>28</v>
      </c>
      <c r="K43" s="48">
        <v>52.83</v>
      </c>
      <c r="L43" s="49">
        <v>23</v>
      </c>
      <c r="M43" s="48">
        <v>43.396000000000001</v>
      </c>
      <c r="N43" s="49">
        <v>0</v>
      </c>
      <c r="O43" s="48">
        <v>0</v>
      </c>
      <c r="P43" s="51">
        <v>2</v>
      </c>
      <c r="Q43" s="52">
        <v>3.7736000000000001</v>
      </c>
      <c r="R43" s="49">
        <v>16</v>
      </c>
      <c r="S43" s="54">
        <v>30.189</v>
      </c>
      <c r="T43" s="59">
        <v>2</v>
      </c>
      <c r="U43" s="52">
        <v>3.7736000000000001</v>
      </c>
      <c r="V43" s="59">
        <v>0</v>
      </c>
      <c r="W43" s="54">
        <v>0</v>
      </c>
      <c r="X43" s="55">
        <v>3593</v>
      </c>
      <c r="Y43" s="56">
        <v>100</v>
      </c>
    </row>
    <row r="44" spans="1:25" s="22" customFormat="1" ht="15" customHeight="1" x14ac:dyDescent="0.25">
      <c r="A44" s="21" t="s">
        <v>14</v>
      </c>
      <c r="B44" s="23" t="s">
        <v>52</v>
      </c>
      <c r="C44" s="24">
        <v>90</v>
      </c>
      <c r="D44" s="25">
        <v>7</v>
      </c>
      <c r="E44" s="26">
        <v>7.7779999999999996</v>
      </c>
      <c r="F44" s="33">
        <v>0</v>
      </c>
      <c r="G44" s="26">
        <v>0</v>
      </c>
      <c r="H44" s="27">
        <v>17</v>
      </c>
      <c r="I44" s="26">
        <v>18.8889</v>
      </c>
      <c r="J44" s="27">
        <v>23</v>
      </c>
      <c r="K44" s="26">
        <v>25.556000000000001</v>
      </c>
      <c r="L44" s="27">
        <v>31</v>
      </c>
      <c r="M44" s="26">
        <v>34.444000000000003</v>
      </c>
      <c r="N44" s="33">
        <v>1</v>
      </c>
      <c r="O44" s="26">
        <v>1.11111</v>
      </c>
      <c r="P44" s="35">
        <v>11</v>
      </c>
      <c r="Q44" s="29">
        <v>12.222200000000001</v>
      </c>
      <c r="R44" s="27">
        <v>36</v>
      </c>
      <c r="S44" s="30">
        <v>40</v>
      </c>
      <c r="T44" s="34">
        <v>2</v>
      </c>
      <c r="U44" s="29">
        <v>2.2222</v>
      </c>
      <c r="V44" s="34">
        <v>4</v>
      </c>
      <c r="W44" s="30">
        <v>4.4443999999999999</v>
      </c>
      <c r="X44" s="31">
        <v>1816</v>
      </c>
      <c r="Y44" s="32">
        <v>100</v>
      </c>
    </row>
    <row r="45" spans="1:25" s="22" customFormat="1" ht="15" customHeight="1" x14ac:dyDescent="0.25">
      <c r="A45" s="21" t="s">
        <v>14</v>
      </c>
      <c r="B45" s="57" t="s">
        <v>53</v>
      </c>
      <c r="C45" s="46">
        <v>38</v>
      </c>
      <c r="D45" s="59">
        <v>0</v>
      </c>
      <c r="E45" s="48">
        <v>0</v>
      </c>
      <c r="F45" s="49">
        <v>0</v>
      </c>
      <c r="G45" s="48">
        <v>0</v>
      </c>
      <c r="H45" s="50">
        <v>6</v>
      </c>
      <c r="I45" s="48">
        <v>15.7895</v>
      </c>
      <c r="J45" s="49">
        <v>2</v>
      </c>
      <c r="K45" s="48">
        <v>5.2629999999999999</v>
      </c>
      <c r="L45" s="50">
        <v>27</v>
      </c>
      <c r="M45" s="48">
        <v>71.052999999999997</v>
      </c>
      <c r="N45" s="49">
        <v>0</v>
      </c>
      <c r="O45" s="48">
        <v>0</v>
      </c>
      <c r="P45" s="51">
        <v>3</v>
      </c>
      <c r="Q45" s="52">
        <v>7.8947000000000003</v>
      </c>
      <c r="R45" s="49">
        <v>21</v>
      </c>
      <c r="S45" s="54">
        <v>55.262999999999998</v>
      </c>
      <c r="T45" s="47">
        <v>0</v>
      </c>
      <c r="U45" s="52">
        <v>0</v>
      </c>
      <c r="V45" s="59">
        <v>0</v>
      </c>
      <c r="W45" s="54">
        <v>0</v>
      </c>
      <c r="X45" s="55">
        <v>1289</v>
      </c>
      <c r="Y45" s="56">
        <v>100</v>
      </c>
    </row>
    <row r="46" spans="1:25" s="22" customFormat="1" ht="15" customHeight="1" x14ac:dyDescent="0.25">
      <c r="A46" s="21" t="s">
        <v>14</v>
      </c>
      <c r="B46" s="23" t="s">
        <v>54</v>
      </c>
      <c r="C46" s="24">
        <v>29</v>
      </c>
      <c r="D46" s="25">
        <v>0</v>
      </c>
      <c r="E46" s="26">
        <v>0</v>
      </c>
      <c r="F46" s="27">
        <v>0</v>
      </c>
      <c r="G46" s="26">
        <v>0</v>
      </c>
      <c r="H46" s="27">
        <v>4</v>
      </c>
      <c r="I46" s="26">
        <v>13.793100000000001</v>
      </c>
      <c r="J46" s="27">
        <v>11</v>
      </c>
      <c r="K46" s="26">
        <v>37.930999999999997</v>
      </c>
      <c r="L46" s="33">
        <v>13</v>
      </c>
      <c r="M46" s="26">
        <v>44.828000000000003</v>
      </c>
      <c r="N46" s="33">
        <v>0</v>
      </c>
      <c r="O46" s="26">
        <v>0</v>
      </c>
      <c r="P46" s="35">
        <v>1</v>
      </c>
      <c r="Q46" s="29">
        <v>3.4483000000000001</v>
      </c>
      <c r="R46" s="27">
        <v>22</v>
      </c>
      <c r="S46" s="30">
        <v>75.861999999999995</v>
      </c>
      <c r="T46" s="25">
        <v>0</v>
      </c>
      <c r="U46" s="29">
        <v>0</v>
      </c>
      <c r="V46" s="25">
        <v>2</v>
      </c>
      <c r="W46" s="30">
        <v>6.8966000000000003</v>
      </c>
      <c r="X46" s="31">
        <v>3006</v>
      </c>
      <c r="Y46" s="32">
        <v>92.781000000000006</v>
      </c>
    </row>
    <row r="47" spans="1:25" s="22" customFormat="1" ht="15" customHeight="1" x14ac:dyDescent="0.25">
      <c r="A47" s="21" t="s">
        <v>14</v>
      </c>
      <c r="B47" s="57" t="s">
        <v>55</v>
      </c>
      <c r="C47" s="60">
        <v>17</v>
      </c>
      <c r="D47" s="47">
        <v>0</v>
      </c>
      <c r="E47" s="48">
        <v>0</v>
      </c>
      <c r="F47" s="50">
        <v>0</v>
      </c>
      <c r="G47" s="48">
        <v>0</v>
      </c>
      <c r="H47" s="50">
        <v>12</v>
      </c>
      <c r="I47" s="48">
        <v>70.588200000000001</v>
      </c>
      <c r="J47" s="50">
        <v>5</v>
      </c>
      <c r="K47" s="48">
        <v>29.411999999999999</v>
      </c>
      <c r="L47" s="50">
        <v>0</v>
      </c>
      <c r="M47" s="48">
        <v>0</v>
      </c>
      <c r="N47" s="49">
        <v>0</v>
      </c>
      <c r="O47" s="48">
        <v>0</v>
      </c>
      <c r="P47" s="51">
        <v>0</v>
      </c>
      <c r="Q47" s="52">
        <v>0</v>
      </c>
      <c r="R47" s="49">
        <v>3</v>
      </c>
      <c r="S47" s="54">
        <v>17.646999999999998</v>
      </c>
      <c r="T47" s="59">
        <v>0</v>
      </c>
      <c r="U47" s="52">
        <v>0</v>
      </c>
      <c r="V47" s="47">
        <v>4</v>
      </c>
      <c r="W47" s="54">
        <v>23.529399999999999</v>
      </c>
      <c r="X47" s="55">
        <v>312</v>
      </c>
      <c r="Y47" s="56">
        <v>100</v>
      </c>
    </row>
    <row r="48" spans="1:25" s="22" customFormat="1" ht="15" customHeight="1" x14ac:dyDescent="0.25">
      <c r="A48" s="21" t="s">
        <v>14</v>
      </c>
      <c r="B48" s="23" t="s">
        <v>56</v>
      </c>
      <c r="C48" s="24">
        <v>25</v>
      </c>
      <c r="D48" s="34">
        <v>0</v>
      </c>
      <c r="E48" s="26">
        <v>0</v>
      </c>
      <c r="F48" s="27">
        <v>0</v>
      </c>
      <c r="G48" s="26">
        <v>0</v>
      </c>
      <c r="H48" s="33">
        <v>0</v>
      </c>
      <c r="I48" s="26">
        <v>0</v>
      </c>
      <c r="J48" s="27">
        <v>20</v>
      </c>
      <c r="K48" s="26">
        <v>80</v>
      </c>
      <c r="L48" s="27">
        <v>5</v>
      </c>
      <c r="M48" s="26">
        <v>20</v>
      </c>
      <c r="N48" s="33">
        <v>0</v>
      </c>
      <c r="O48" s="26">
        <v>0</v>
      </c>
      <c r="P48" s="35">
        <v>0</v>
      </c>
      <c r="Q48" s="29">
        <v>0</v>
      </c>
      <c r="R48" s="27">
        <v>18</v>
      </c>
      <c r="S48" s="30">
        <v>72</v>
      </c>
      <c r="T48" s="34">
        <v>0</v>
      </c>
      <c r="U48" s="29">
        <v>0</v>
      </c>
      <c r="V48" s="34">
        <v>0</v>
      </c>
      <c r="W48" s="30">
        <v>0</v>
      </c>
      <c r="X48" s="31">
        <v>1243</v>
      </c>
      <c r="Y48" s="32">
        <v>100</v>
      </c>
    </row>
    <row r="49" spans="1:25" s="22" customFormat="1" ht="15" customHeight="1" x14ac:dyDescent="0.25">
      <c r="A49" s="21" t="s">
        <v>14</v>
      </c>
      <c r="B49" s="57" t="s">
        <v>57</v>
      </c>
      <c r="C49" s="60">
        <v>0</v>
      </c>
      <c r="D49" s="47">
        <v>0</v>
      </c>
      <c r="E49" s="48">
        <v>0</v>
      </c>
      <c r="F49" s="49">
        <v>0</v>
      </c>
      <c r="G49" s="48">
        <v>0</v>
      </c>
      <c r="H49" s="49">
        <v>0</v>
      </c>
      <c r="I49" s="48">
        <v>0</v>
      </c>
      <c r="J49" s="49">
        <v>0</v>
      </c>
      <c r="K49" s="48">
        <v>0</v>
      </c>
      <c r="L49" s="50">
        <v>0</v>
      </c>
      <c r="M49" s="48">
        <v>0</v>
      </c>
      <c r="N49" s="50">
        <v>0</v>
      </c>
      <c r="O49" s="48">
        <v>0</v>
      </c>
      <c r="P49" s="51">
        <v>0</v>
      </c>
      <c r="Q49" s="52">
        <v>0</v>
      </c>
      <c r="R49" s="49">
        <v>0</v>
      </c>
      <c r="S49" s="54">
        <v>0</v>
      </c>
      <c r="T49" s="59">
        <v>0</v>
      </c>
      <c r="U49" s="52">
        <v>0</v>
      </c>
      <c r="V49" s="59">
        <v>0</v>
      </c>
      <c r="W49" s="54">
        <v>0</v>
      </c>
      <c r="X49" s="55">
        <v>698</v>
      </c>
      <c r="Y49" s="56">
        <v>100</v>
      </c>
    </row>
    <row r="50" spans="1:25" s="22" customFormat="1" ht="15" customHeight="1" x14ac:dyDescent="0.25">
      <c r="A50" s="21" t="s">
        <v>14</v>
      </c>
      <c r="B50" s="23" t="s">
        <v>58</v>
      </c>
      <c r="C50" s="24">
        <v>35</v>
      </c>
      <c r="D50" s="25">
        <v>0</v>
      </c>
      <c r="E50" s="26">
        <v>0</v>
      </c>
      <c r="F50" s="27">
        <v>0</v>
      </c>
      <c r="G50" s="26">
        <v>0</v>
      </c>
      <c r="H50" s="33">
        <v>1</v>
      </c>
      <c r="I50" s="26">
        <v>2.8571</v>
      </c>
      <c r="J50" s="27">
        <v>13</v>
      </c>
      <c r="K50" s="26">
        <v>37.143000000000001</v>
      </c>
      <c r="L50" s="27">
        <v>21</v>
      </c>
      <c r="M50" s="26">
        <v>60</v>
      </c>
      <c r="N50" s="33">
        <v>0</v>
      </c>
      <c r="O50" s="26">
        <v>0</v>
      </c>
      <c r="P50" s="35">
        <v>0</v>
      </c>
      <c r="Q50" s="29">
        <v>0</v>
      </c>
      <c r="R50" s="27">
        <v>13</v>
      </c>
      <c r="S50" s="30">
        <v>37.143000000000001</v>
      </c>
      <c r="T50" s="25">
        <v>3</v>
      </c>
      <c r="U50" s="29">
        <v>8.5714000000000006</v>
      </c>
      <c r="V50" s="25">
        <v>0</v>
      </c>
      <c r="W50" s="30">
        <v>0</v>
      </c>
      <c r="X50" s="31">
        <v>1777</v>
      </c>
      <c r="Y50" s="32">
        <v>100</v>
      </c>
    </row>
    <row r="51" spans="1:25" s="22" customFormat="1" ht="15" customHeight="1" x14ac:dyDescent="0.25">
      <c r="A51" s="21" t="s">
        <v>14</v>
      </c>
      <c r="B51" s="57" t="s">
        <v>59</v>
      </c>
      <c r="C51" s="46">
        <v>1625</v>
      </c>
      <c r="D51" s="47">
        <v>3</v>
      </c>
      <c r="E51" s="48">
        <v>0.185</v>
      </c>
      <c r="F51" s="50">
        <v>15</v>
      </c>
      <c r="G51" s="48">
        <v>0.92310000000000003</v>
      </c>
      <c r="H51" s="49">
        <v>866</v>
      </c>
      <c r="I51" s="48">
        <v>53.292299999999997</v>
      </c>
      <c r="J51" s="49">
        <v>426</v>
      </c>
      <c r="K51" s="48">
        <v>26.215</v>
      </c>
      <c r="L51" s="49">
        <v>284</v>
      </c>
      <c r="M51" s="48">
        <v>17.477</v>
      </c>
      <c r="N51" s="50">
        <v>3</v>
      </c>
      <c r="O51" s="48">
        <v>0.18462000000000001</v>
      </c>
      <c r="P51" s="51">
        <v>28</v>
      </c>
      <c r="Q51" s="52">
        <v>1.7231000000000001</v>
      </c>
      <c r="R51" s="49">
        <v>486</v>
      </c>
      <c r="S51" s="54">
        <v>29.908000000000001</v>
      </c>
      <c r="T51" s="47">
        <v>115</v>
      </c>
      <c r="U51" s="52">
        <v>7.0769000000000002</v>
      </c>
      <c r="V51" s="47">
        <v>188</v>
      </c>
      <c r="W51" s="54">
        <v>11.5692</v>
      </c>
      <c r="X51" s="55">
        <v>8758</v>
      </c>
      <c r="Y51" s="56">
        <v>100</v>
      </c>
    </row>
    <row r="52" spans="1:25" s="22" customFormat="1" ht="15" customHeight="1" x14ac:dyDescent="0.25">
      <c r="A52" s="21" t="s">
        <v>14</v>
      </c>
      <c r="B52" s="23" t="s">
        <v>60</v>
      </c>
      <c r="C52" s="24">
        <v>19</v>
      </c>
      <c r="D52" s="34">
        <v>0</v>
      </c>
      <c r="E52" s="26">
        <v>0</v>
      </c>
      <c r="F52" s="27">
        <v>0</v>
      </c>
      <c r="G52" s="26">
        <v>0</v>
      </c>
      <c r="H52" s="33">
        <v>1</v>
      </c>
      <c r="I52" s="26">
        <v>5.2632000000000003</v>
      </c>
      <c r="J52" s="33">
        <v>0</v>
      </c>
      <c r="K52" s="26">
        <v>0</v>
      </c>
      <c r="L52" s="27">
        <v>16</v>
      </c>
      <c r="M52" s="26">
        <v>84.210999999999999</v>
      </c>
      <c r="N52" s="33">
        <v>0</v>
      </c>
      <c r="O52" s="26">
        <v>0</v>
      </c>
      <c r="P52" s="28">
        <v>2</v>
      </c>
      <c r="Q52" s="29">
        <v>10.526300000000001</v>
      </c>
      <c r="R52" s="27">
        <v>17</v>
      </c>
      <c r="S52" s="30">
        <v>89.474000000000004</v>
      </c>
      <c r="T52" s="25">
        <v>0</v>
      </c>
      <c r="U52" s="29">
        <v>0</v>
      </c>
      <c r="V52" s="25">
        <v>0</v>
      </c>
      <c r="W52" s="30">
        <v>0</v>
      </c>
      <c r="X52" s="31">
        <v>1029</v>
      </c>
      <c r="Y52" s="32">
        <v>100</v>
      </c>
    </row>
    <row r="53" spans="1:25" s="22" customFormat="1" ht="15" customHeight="1" x14ac:dyDescent="0.25">
      <c r="A53" s="21" t="s">
        <v>14</v>
      </c>
      <c r="B53" s="57" t="s">
        <v>61</v>
      </c>
      <c r="C53" s="60">
        <v>6</v>
      </c>
      <c r="D53" s="59">
        <v>0</v>
      </c>
      <c r="E53" s="48">
        <v>0</v>
      </c>
      <c r="F53" s="49">
        <v>0</v>
      </c>
      <c r="G53" s="48">
        <v>0</v>
      </c>
      <c r="H53" s="50">
        <v>0</v>
      </c>
      <c r="I53" s="48">
        <v>0</v>
      </c>
      <c r="J53" s="49">
        <v>0</v>
      </c>
      <c r="K53" s="48">
        <v>0</v>
      </c>
      <c r="L53" s="50">
        <v>6</v>
      </c>
      <c r="M53" s="48">
        <v>100</v>
      </c>
      <c r="N53" s="50">
        <v>0</v>
      </c>
      <c r="O53" s="48">
        <v>0</v>
      </c>
      <c r="P53" s="51">
        <v>0</v>
      </c>
      <c r="Q53" s="52">
        <v>0</v>
      </c>
      <c r="R53" s="49">
        <v>5</v>
      </c>
      <c r="S53" s="54">
        <v>83.332999999999998</v>
      </c>
      <c r="T53" s="59">
        <v>0</v>
      </c>
      <c r="U53" s="52">
        <v>0</v>
      </c>
      <c r="V53" s="47">
        <v>0</v>
      </c>
      <c r="W53" s="54">
        <v>0</v>
      </c>
      <c r="X53" s="55">
        <v>302</v>
      </c>
      <c r="Y53" s="56">
        <v>100</v>
      </c>
    </row>
    <row r="54" spans="1:25" s="22" customFormat="1" ht="15" customHeight="1" x14ac:dyDescent="0.25">
      <c r="A54" s="21" t="s">
        <v>14</v>
      </c>
      <c r="B54" s="23" t="s">
        <v>62</v>
      </c>
      <c r="C54" s="24">
        <v>83</v>
      </c>
      <c r="D54" s="34">
        <v>0</v>
      </c>
      <c r="E54" s="26">
        <v>0</v>
      </c>
      <c r="F54" s="27">
        <v>0</v>
      </c>
      <c r="G54" s="37">
        <v>0</v>
      </c>
      <c r="H54" s="33">
        <v>8</v>
      </c>
      <c r="I54" s="37">
        <v>9.6386000000000003</v>
      </c>
      <c r="J54" s="27">
        <v>55</v>
      </c>
      <c r="K54" s="26">
        <v>66.265000000000001</v>
      </c>
      <c r="L54" s="27">
        <v>15</v>
      </c>
      <c r="M54" s="26">
        <v>18.071999999999999</v>
      </c>
      <c r="N54" s="27">
        <v>0</v>
      </c>
      <c r="O54" s="26">
        <v>0</v>
      </c>
      <c r="P54" s="35">
        <v>5</v>
      </c>
      <c r="Q54" s="29">
        <v>6.0240999999999998</v>
      </c>
      <c r="R54" s="27">
        <v>28</v>
      </c>
      <c r="S54" s="30">
        <v>33.734999999999999</v>
      </c>
      <c r="T54" s="25">
        <v>2</v>
      </c>
      <c r="U54" s="29">
        <v>2.4096000000000002</v>
      </c>
      <c r="V54" s="34">
        <v>0</v>
      </c>
      <c r="W54" s="30">
        <v>0</v>
      </c>
      <c r="X54" s="31">
        <v>1982</v>
      </c>
      <c r="Y54" s="32">
        <v>98.385000000000005</v>
      </c>
    </row>
    <row r="55" spans="1:25" s="22" customFormat="1" ht="15" customHeight="1" x14ac:dyDescent="0.25">
      <c r="A55" s="21" t="s">
        <v>14</v>
      </c>
      <c r="B55" s="57" t="s">
        <v>63</v>
      </c>
      <c r="C55" s="46">
        <v>56</v>
      </c>
      <c r="D55" s="47">
        <v>1</v>
      </c>
      <c r="E55" s="48">
        <v>1.786</v>
      </c>
      <c r="F55" s="49">
        <v>1</v>
      </c>
      <c r="G55" s="48">
        <v>1.7857000000000001</v>
      </c>
      <c r="H55" s="50">
        <v>5</v>
      </c>
      <c r="I55" s="48">
        <v>8.9285999999999994</v>
      </c>
      <c r="J55" s="50">
        <v>8</v>
      </c>
      <c r="K55" s="48">
        <v>14.286</v>
      </c>
      <c r="L55" s="49">
        <v>32</v>
      </c>
      <c r="M55" s="48">
        <v>57.143000000000001</v>
      </c>
      <c r="N55" s="49">
        <v>0</v>
      </c>
      <c r="O55" s="48">
        <v>0</v>
      </c>
      <c r="P55" s="58">
        <v>9</v>
      </c>
      <c r="Q55" s="52">
        <v>16.071400000000001</v>
      </c>
      <c r="R55" s="49">
        <v>41</v>
      </c>
      <c r="S55" s="54">
        <v>73.213999999999999</v>
      </c>
      <c r="T55" s="47">
        <v>1</v>
      </c>
      <c r="U55" s="52">
        <v>1.7857000000000001</v>
      </c>
      <c r="V55" s="59">
        <v>7</v>
      </c>
      <c r="W55" s="54">
        <v>12.5</v>
      </c>
      <c r="X55" s="55">
        <v>2339</v>
      </c>
      <c r="Y55" s="56">
        <v>100</v>
      </c>
    </row>
    <row r="56" spans="1:25" s="22" customFormat="1" ht="15" customHeight="1" x14ac:dyDescent="0.25">
      <c r="A56" s="21" t="s">
        <v>14</v>
      </c>
      <c r="B56" s="23" t="s">
        <v>64</v>
      </c>
      <c r="C56" s="24">
        <v>9</v>
      </c>
      <c r="D56" s="25">
        <v>0</v>
      </c>
      <c r="E56" s="26">
        <v>0</v>
      </c>
      <c r="F56" s="27">
        <v>0</v>
      </c>
      <c r="G56" s="26">
        <v>0</v>
      </c>
      <c r="H56" s="27">
        <v>0</v>
      </c>
      <c r="I56" s="26">
        <v>0</v>
      </c>
      <c r="J56" s="33">
        <v>2</v>
      </c>
      <c r="K56" s="26">
        <v>22.222000000000001</v>
      </c>
      <c r="L56" s="27">
        <v>7</v>
      </c>
      <c r="M56" s="26">
        <v>77.778000000000006</v>
      </c>
      <c r="N56" s="33">
        <v>0</v>
      </c>
      <c r="O56" s="26">
        <v>0</v>
      </c>
      <c r="P56" s="28">
        <v>0</v>
      </c>
      <c r="Q56" s="29">
        <v>0</v>
      </c>
      <c r="R56" s="27">
        <v>3</v>
      </c>
      <c r="S56" s="30">
        <v>33.332999999999998</v>
      </c>
      <c r="T56" s="34">
        <v>0</v>
      </c>
      <c r="U56" s="29">
        <v>0</v>
      </c>
      <c r="V56" s="34">
        <v>0</v>
      </c>
      <c r="W56" s="30">
        <v>0</v>
      </c>
      <c r="X56" s="31">
        <v>691</v>
      </c>
      <c r="Y56" s="32">
        <v>100</v>
      </c>
    </row>
    <row r="57" spans="1:25" s="22" customFormat="1" ht="15" customHeight="1" x14ac:dyDescent="0.25">
      <c r="A57" s="21" t="s">
        <v>14</v>
      </c>
      <c r="B57" s="57" t="s">
        <v>65</v>
      </c>
      <c r="C57" s="46">
        <v>54</v>
      </c>
      <c r="D57" s="47">
        <v>2</v>
      </c>
      <c r="E57" s="48">
        <v>3.7040000000000002</v>
      </c>
      <c r="F57" s="50">
        <v>0</v>
      </c>
      <c r="G57" s="48">
        <v>0</v>
      </c>
      <c r="H57" s="49">
        <v>8</v>
      </c>
      <c r="I57" s="48">
        <v>14.8148</v>
      </c>
      <c r="J57" s="49">
        <v>28</v>
      </c>
      <c r="K57" s="48">
        <v>51.851999999999997</v>
      </c>
      <c r="L57" s="49">
        <v>14</v>
      </c>
      <c r="M57" s="48">
        <v>25.925999999999998</v>
      </c>
      <c r="N57" s="49">
        <v>0</v>
      </c>
      <c r="O57" s="48">
        <v>0</v>
      </c>
      <c r="P57" s="58">
        <v>2</v>
      </c>
      <c r="Q57" s="52">
        <v>3.7037</v>
      </c>
      <c r="R57" s="49">
        <v>32</v>
      </c>
      <c r="S57" s="54">
        <v>59.259</v>
      </c>
      <c r="T57" s="59">
        <v>0</v>
      </c>
      <c r="U57" s="52">
        <v>0</v>
      </c>
      <c r="V57" s="59">
        <v>2</v>
      </c>
      <c r="W57" s="54">
        <v>3.7037</v>
      </c>
      <c r="X57" s="55">
        <v>2235</v>
      </c>
      <c r="Y57" s="56">
        <v>99.954999999999998</v>
      </c>
    </row>
    <row r="58" spans="1:25" s="22" customFormat="1" ht="15" customHeight="1" x14ac:dyDescent="0.25">
      <c r="A58" s="21" t="s">
        <v>14</v>
      </c>
      <c r="B58" s="23" t="s">
        <v>66</v>
      </c>
      <c r="C58" s="36">
        <v>2</v>
      </c>
      <c r="D58" s="34">
        <v>0</v>
      </c>
      <c r="E58" s="26">
        <v>0</v>
      </c>
      <c r="F58" s="27">
        <v>0</v>
      </c>
      <c r="G58" s="26">
        <v>0</v>
      </c>
      <c r="H58" s="33">
        <v>0</v>
      </c>
      <c r="I58" s="26">
        <v>0</v>
      </c>
      <c r="J58" s="27">
        <v>0</v>
      </c>
      <c r="K58" s="26">
        <v>0</v>
      </c>
      <c r="L58" s="27">
        <v>2</v>
      </c>
      <c r="M58" s="26">
        <v>100</v>
      </c>
      <c r="N58" s="27">
        <v>0</v>
      </c>
      <c r="O58" s="26">
        <v>0</v>
      </c>
      <c r="P58" s="35">
        <v>0</v>
      </c>
      <c r="Q58" s="29">
        <v>0</v>
      </c>
      <c r="R58" s="27">
        <v>1</v>
      </c>
      <c r="S58" s="30">
        <v>50</v>
      </c>
      <c r="T58" s="25">
        <v>0</v>
      </c>
      <c r="U58" s="29">
        <v>0</v>
      </c>
      <c r="V58" s="25">
        <v>0</v>
      </c>
      <c r="W58" s="30">
        <v>0</v>
      </c>
      <c r="X58" s="31">
        <v>366</v>
      </c>
      <c r="Y58" s="32">
        <v>100</v>
      </c>
    </row>
    <row r="59" spans="1:25" s="22" customFormat="1" ht="15" customHeight="1" thickBot="1" x14ac:dyDescent="0.3">
      <c r="A59" s="21" t="s">
        <v>14</v>
      </c>
      <c r="B59" s="66" t="s">
        <v>70</v>
      </c>
      <c r="C59" s="67">
        <v>0</v>
      </c>
      <c r="D59" s="68">
        <v>0</v>
      </c>
      <c r="E59" s="69">
        <v>0</v>
      </c>
      <c r="F59" s="70">
        <v>0</v>
      </c>
      <c r="G59" s="69">
        <v>0</v>
      </c>
      <c r="H59" s="71">
        <v>0</v>
      </c>
      <c r="I59" s="69">
        <v>0</v>
      </c>
      <c r="J59" s="70">
        <v>0</v>
      </c>
      <c r="K59" s="69">
        <v>0</v>
      </c>
      <c r="L59" s="70">
        <v>0</v>
      </c>
      <c r="M59" s="69">
        <v>0</v>
      </c>
      <c r="N59" s="70">
        <v>0</v>
      </c>
      <c r="O59" s="69">
        <v>0</v>
      </c>
      <c r="P59" s="72">
        <v>0</v>
      </c>
      <c r="Q59" s="73">
        <v>0</v>
      </c>
      <c r="R59" s="74">
        <v>0</v>
      </c>
      <c r="S59" s="74">
        <v>0</v>
      </c>
      <c r="T59" s="75">
        <v>0</v>
      </c>
      <c r="U59" s="73">
        <v>0</v>
      </c>
      <c r="V59" s="75">
        <v>0</v>
      </c>
      <c r="W59" s="74">
        <v>0</v>
      </c>
      <c r="X59" s="76">
        <v>1099</v>
      </c>
      <c r="Y59" s="77">
        <v>100</v>
      </c>
    </row>
    <row r="60" spans="1:25" s="22" customFormat="1" ht="15" customHeight="1" x14ac:dyDescent="0.25">
      <c r="A60" s="21"/>
      <c r="B60" s="23"/>
      <c r="C60" s="33"/>
      <c r="D60" s="33"/>
      <c r="E60" s="30"/>
      <c r="F60" s="27"/>
      <c r="G60" s="30"/>
      <c r="H60" s="33"/>
      <c r="I60" s="30"/>
      <c r="J60" s="27"/>
      <c r="K60" s="30"/>
      <c r="L60" s="27"/>
      <c r="M60" s="30"/>
      <c r="N60" s="27"/>
      <c r="O60" s="30"/>
      <c r="P60" s="33"/>
      <c r="Q60" s="30"/>
      <c r="R60" s="30"/>
      <c r="S60" s="30"/>
      <c r="T60" s="27"/>
      <c r="U60" s="30"/>
      <c r="V60" s="27"/>
      <c r="W60" s="30"/>
      <c r="X60" s="63"/>
      <c r="Y60" s="64"/>
    </row>
    <row r="61" spans="1:25" s="39" customFormat="1" ht="14.15" customHeight="1" x14ac:dyDescent="0.25">
      <c r="B61" s="42" t="s">
        <v>75</v>
      </c>
      <c r="C61" s="62"/>
      <c r="D61" s="62"/>
      <c r="E61" s="62"/>
      <c r="F61" s="62"/>
      <c r="G61" s="62"/>
      <c r="H61" s="62"/>
      <c r="I61" s="62"/>
      <c r="J61" s="62"/>
      <c r="K61" s="62"/>
      <c r="L61" s="62"/>
      <c r="M61" s="62"/>
      <c r="N61" s="62"/>
      <c r="O61" s="62"/>
      <c r="P61" s="62"/>
      <c r="Q61" s="62"/>
      <c r="R61" s="62"/>
      <c r="S61" s="62"/>
      <c r="T61" s="62"/>
      <c r="U61" s="62"/>
      <c r="V61" s="62"/>
      <c r="W61" s="62"/>
      <c r="X61" s="62"/>
      <c r="Y61" s="62"/>
    </row>
    <row r="62" spans="1:25" s="39" customFormat="1" ht="15" customHeight="1" x14ac:dyDescent="0.25">
      <c r="A62" s="41"/>
      <c r="B62" s="42" t="str">
        <f>CONCATENATE("NOTE: Table reads (for 50 states, District of Columbia, and Puerto Rico totals):  Of all ",IF(ISTEXT(C7),LEFT(C7,3),TEXT(C7,"#,##0"))," public school students ", A7, ", ", IF(ISTEXT(R7),LEFT(R7,3),TEXT(R7,"#,##0"))," (", TEXT(S7,"0.0"),"%) were students with disabilities served under the Individuals with Disabilities Education Act (IDEA), and ",IF(ISTEXT(T7),LEFT(T7,3),TEXT(T7,"#,##0"))," (",TEXT(U7,"0.0"),"%) were students with disabilities served only under Section 504.")</f>
        <v>NOTE: Table reads (for 50 states, District of Columbia, and Puerto Rico totals):  Of all 3,609 public school students subjected to mechanical restraint, 1,489 (41.3%) were students with disabilities served under the Individuals with Disabilities Education Act (IDEA), and 152 (4.2%) were students with disabilities served only under Section 504.</v>
      </c>
      <c r="C62" s="38"/>
      <c r="D62" s="38"/>
      <c r="E62" s="38"/>
      <c r="F62" s="38"/>
      <c r="G62" s="38"/>
      <c r="H62" s="38"/>
      <c r="I62" s="38"/>
      <c r="J62" s="38"/>
      <c r="K62" s="38"/>
      <c r="L62" s="38"/>
      <c r="M62" s="38"/>
      <c r="N62" s="38"/>
      <c r="O62" s="38"/>
      <c r="P62" s="38"/>
      <c r="Q62" s="38"/>
      <c r="R62" s="38"/>
      <c r="S62" s="38"/>
      <c r="T62" s="38"/>
      <c r="U62" s="38"/>
      <c r="V62" s="43"/>
      <c r="W62" s="44"/>
      <c r="X62" s="38"/>
      <c r="Y62" s="38"/>
    </row>
    <row r="63" spans="1:25" s="39" customFormat="1" ht="15" customHeight="1" x14ac:dyDescent="0.25">
      <c r="A63" s="41"/>
      <c r="B63" s="42" t="str">
        <f>CONCATENATE("            Table reads (for 50 states, District of Columbia, and Puerto Rico Race/Ethnicity):  Of all ",TEXT(C7,"#,##0")," public school students ",(A7), ", ",TEXT(D7,"#,##0")," (",TEXT(E7,"0.0"),"%) were American Indian or Alaska Native.")</f>
        <v xml:space="preserve">            Table reads (for 50 states, District of Columbia, and Puerto Rico Race/Ethnicity):  Of all 3,609 public school students subjected to mechanical restraint, 33 (0.9%) were American Indian or Alaska Native.</v>
      </c>
      <c r="C63" s="38"/>
      <c r="D63" s="38"/>
      <c r="E63" s="38"/>
      <c r="F63" s="38"/>
      <c r="G63" s="38"/>
      <c r="H63" s="38"/>
      <c r="I63" s="38"/>
      <c r="J63" s="38"/>
      <c r="K63" s="38"/>
      <c r="L63" s="38"/>
      <c r="M63" s="38"/>
      <c r="N63" s="38"/>
      <c r="O63" s="38"/>
      <c r="P63" s="38"/>
      <c r="Q63" s="38"/>
      <c r="R63" s="38"/>
      <c r="S63" s="38"/>
      <c r="T63" s="38"/>
      <c r="U63" s="38"/>
      <c r="V63" s="43"/>
      <c r="W63" s="44"/>
      <c r="X63" s="38"/>
      <c r="Y63" s="38"/>
    </row>
    <row r="64" spans="1:25" s="39" customFormat="1" ht="15" customHeight="1" x14ac:dyDescent="0.25">
      <c r="A64" s="41"/>
      <c r="B64" s="62" t="s">
        <v>72</v>
      </c>
      <c r="C64" s="38"/>
      <c r="D64" s="38"/>
      <c r="E64" s="38"/>
      <c r="F64" s="38"/>
      <c r="G64" s="38"/>
      <c r="H64" s="38"/>
      <c r="I64" s="38"/>
      <c r="J64" s="38"/>
      <c r="K64" s="38"/>
      <c r="L64" s="38"/>
      <c r="M64" s="38"/>
      <c r="N64" s="38"/>
      <c r="O64" s="38"/>
      <c r="P64" s="38"/>
      <c r="Q64" s="38"/>
      <c r="R64" s="38"/>
      <c r="S64" s="38"/>
      <c r="T64" s="38"/>
      <c r="U64" s="38"/>
      <c r="V64" s="43"/>
      <c r="W64" s="44"/>
      <c r="X64" s="38"/>
      <c r="Y64" s="38"/>
    </row>
    <row r="65" spans="1:25" s="39" customFormat="1" ht="15" customHeight="1" x14ac:dyDescent="0.3">
      <c r="A65" s="41"/>
      <c r="B65" s="62" t="s">
        <v>71</v>
      </c>
      <c r="C65" s="1"/>
      <c r="D65" s="1"/>
      <c r="E65" s="1"/>
      <c r="F65" s="1"/>
      <c r="G65" s="1"/>
      <c r="H65" s="1"/>
      <c r="I65" s="1"/>
      <c r="J65" s="1"/>
      <c r="K65" s="1"/>
      <c r="L65" s="1"/>
      <c r="M65" s="1"/>
      <c r="N65" s="1"/>
      <c r="O65" s="1"/>
      <c r="P65" s="1"/>
      <c r="Q65" s="1"/>
      <c r="R65" s="1"/>
      <c r="S65" s="1"/>
      <c r="T65" s="1"/>
      <c r="U65" s="1"/>
      <c r="V65" s="5"/>
      <c r="W65" s="6"/>
      <c r="X65" s="1"/>
      <c r="Y65" s="1"/>
    </row>
    <row r="66" spans="1:25" ht="15" customHeight="1" x14ac:dyDescent="0.3">
      <c r="B66" s="38"/>
    </row>
    <row r="67" spans="1:25" ht="15" customHeight="1" x14ac:dyDescent="0.3">
      <c r="B67" s="38"/>
    </row>
  </sheetData>
  <sortState xmlns:xlrd2="http://schemas.microsoft.com/office/spreadsheetml/2017/richdata2" ref="A8:Y59">
    <sortCondition ref="B8:B59"/>
  </sortState>
  <mergeCells count="15">
    <mergeCell ref="X4:X5"/>
    <mergeCell ref="Y4:Y5"/>
    <mergeCell ref="D5:E5"/>
    <mergeCell ref="F5:G5"/>
    <mergeCell ref="H5:I5"/>
    <mergeCell ref="J5:K5"/>
    <mergeCell ref="L5:M5"/>
    <mergeCell ref="N5:O5"/>
    <mergeCell ref="P5:Q5"/>
    <mergeCell ref="V4:W5"/>
    <mergeCell ref="B4:B5"/>
    <mergeCell ref="C4:C5"/>
    <mergeCell ref="D4:Q4"/>
    <mergeCell ref="R4:S5"/>
    <mergeCell ref="T4:U5"/>
  </mergeCells>
  <phoneticPr fontId="20" type="noConversion"/>
  <printOptions horizontalCentered="1"/>
  <pageMargins left="0.25" right="0.25" top="1" bottom="1" header="0.5" footer="0.5"/>
  <pageSetup paperSize="17" scale="70" orientation="landscape" horizontalDpi="2400" verticalDpi="2400" r:id="rId1"/>
  <extLst>
    <ext xmlns:mx="http://schemas.microsoft.com/office/mac/excel/2008/main" uri="{64002731-A6B0-56B0-2670-7721B7C09600}">
      <mx:PLV Mode="0" OnePage="0" WScale="4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Y67"/>
  <sheetViews>
    <sheetView showGridLines="0" topLeftCell="A37" zoomScale="70" zoomScaleNormal="70" workbookViewId="0">
      <selection activeCell="B62" sqref="B62"/>
    </sheetView>
  </sheetViews>
  <sheetFormatPr defaultColWidth="12.109375" defaultRowHeight="15" customHeight="1" x14ac:dyDescent="0.3"/>
  <cols>
    <col min="1" max="1" width="16" style="10" customWidth="1"/>
    <col min="2" max="2" width="62.33203125" style="1" customWidth="1"/>
    <col min="3" max="21" width="14.77734375" style="1" customWidth="1"/>
    <col min="22" max="22" width="14.77734375" style="5" customWidth="1"/>
    <col min="23" max="23" width="14.77734375" style="6" customWidth="1"/>
    <col min="24" max="25" width="14.77734375" style="1" customWidth="1"/>
    <col min="26" max="26" width="3.6640625" style="7" customWidth="1"/>
    <col min="27" max="16384" width="12.109375" style="7"/>
  </cols>
  <sheetData>
    <row r="2" spans="1:25" s="2" customFormat="1" ht="15" customHeight="1" x14ac:dyDescent="0.4">
      <c r="A2" s="9"/>
      <c r="B2" s="45" t="str">
        <f>CONCATENATE("Number and percentage of public school male students ",A7, ", by race/ethnicity, disability status, and English proficiency, by state: School Year 2017-18")</f>
        <v>Number and percentage of public school male students subjected to mechanical restraint, by race/ethnicity, disability status, and English proficiency, by state: School Year 2017-18</v>
      </c>
      <c r="C2" s="45"/>
      <c r="D2" s="45"/>
      <c r="E2" s="45"/>
      <c r="F2" s="45"/>
      <c r="G2" s="45"/>
      <c r="H2" s="45"/>
      <c r="I2" s="45"/>
      <c r="J2" s="45"/>
      <c r="K2" s="45"/>
      <c r="L2" s="45"/>
      <c r="M2" s="45"/>
      <c r="N2" s="45"/>
      <c r="O2" s="45"/>
      <c r="P2" s="45"/>
      <c r="Q2" s="45"/>
      <c r="R2" s="45"/>
      <c r="S2" s="45"/>
      <c r="T2" s="45"/>
      <c r="U2" s="45"/>
      <c r="V2" s="45"/>
      <c r="W2" s="45"/>
    </row>
    <row r="3" spans="1:25" s="1" customFormat="1" ht="15" customHeight="1" thickBot="1" x14ac:dyDescent="0.35">
      <c r="A3" s="8"/>
      <c r="B3" s="3"/>
      <c r="C3" s="4"/>
      <c r="D3" s="4"/>
      <c r="E3" s="4"/>
      <c r="F3" s="4"/>
      <c r="G3" s="4"/>
      <c r="H3" s="4"/>
      <c r="I3" s="4"/>
      <c r="J3" s="4"/>
      <c r="K3" s="4"/>
      <c r="L3" s="4"/>
      <c r="M3" s="4"/>
      <c r="N3" s="4"/>
      <c r="O3" s="4"/>
      <c r="P3" s="4"/>
      <c r="Q3" s="4"/>
      <c r="R3" s="4"/>
      <c r="S3" s="4"/>
      <c r="T3" s="4"/>
      <c r="U3" s="4"/>
      <c r="V3" s="4"/>
      <c r="W3" s="5"/>
      <c r="X3" s="4"/>
      <c r="Y3" s="4"/>
    </row>
    <row r="4" spans="1:25" s="12" customFormat="1" ht="25" customHeight="1" x14ac:dyDescent="0.25">
      <c r="A4" s="11"/>
      <c r="B4" s="78" t="s">
        <v>0</v>
      </c>
      <c r="C4" s="80" t="s">
        <v>9</v>
      </c>
      <c r="D4" s="82" t="s">
        <v>73</v>
      </c>
      <c r="E4" s="83"/>
      <c r="F4" s="83"/>
      <c r="G4" s="83"/>
      <c r="H4" s="83"/>
      <c r="I4" s="83"/>
      <c r="J4" s="83"/>
      <c r="K4" s="83"/>
      <c r="L4" s="83"/>
      <c r="M4" s="83"/>
      <c r="N4" s="83"/>
      <c r="O4" s="83"/>
      <c r="P4" s="83"/>
      <c r="Q4" s="84"/>
      <c r="R4" s="85" t="s">
        <v>67</v>
      </c>
      <c r="S4" s="86"/>
      <c r="T4" s="85" t="s">
        <v>15</v>
      </c>
      <c r="U4" s="86"/>
      <c r="V4" s="85" t="s">
        <v>10</v>
      </c>
      <c r="W4" s="86"/>
      <c r="X4" s="89" t="s">
        <v>13</v>
      </c>
      <c r="Y4" s="91" t="s">
        <v>11</v>
      </c>
    </row>
    <row r="5" spans="1:25" s="12" customFormat="1" ht="25" customHeight="1" x14ac:dyDescent="0.3">
      <c r="A5" s="11"/>
      <c r="B5" s="79"/>
      <c r="C5" s="81"/>
      <c r="D5" s="93" t="s">
        <v>1</v>
      </c>
      <c r="E5" s="94"/>
      <c r="F5" s="95" t="s">
        <v>2</v>
      </c>
      <c r="G5" s="94"/>
      <c r="H5" s="96" t="s">
        <v>3</v>
      </c>
      <c r="I5" s="94"/>
      <c r="J5" s="96" t="s">
        <v>4</v>
      </c>
      <c r="K5" s="94"/>
      <c r="L5" s="96" t="s">
        <v>5</v>
      </c>
      <c r="M5" s="94"/>
      <c r="N5" s="96" t="s">
        <v>6</v>
      </c>
      <c r="O5" s="94"/>
      <c r="P5" s="96" t="s">
        <v>7</v>
      </c>
      <c r="Q5" s="97"/>
      <c r="R5" s="87"/>
      <c r="S5" s="88"/>
      <c r="T5" s="87"/>
      <c r="U5" s="88"/>
      <c r="V5" s="87"/>
      <c r="W5" s="88"/>
      <c r="X5" s="90"/>
      <c r="Y5" s="92"/>
    </row>
    <row r="6" spans="1:25" s="12" customFormat="1" ht="15" customHeight="1" thickBot="1" x14ac:dyDescent="0.35">
      <c r="A6" s="11"/>
      <c r="B6" s="13"/>
      <c r="C6" s="40"/>
      <c r="D6" s="14" t="s">
        <v>8</v>
      </c>
      <c r="E6" s="15" t="s">
        <v>12</v>
      </c>
      <c r="F6" s="16" t="s">
        <v>8</v>
      </c>
      <c r="G6" s="15" t="s">
        <v>12</v>
      </c>
      <c r="H6" s="16" t="s">
        <v>8</v>
      </c>
      <c r="I6" s="15" t="s">
        <v>12</v>
      </c>
      <c r="J6" s="16" t="s">
        <v>8</v>
      </c>
      <c r="K6" s="15" t="s">
        <v>12</v>
      </c>
      <c r="L6" s="16" t="s">
        <v>8</v>
      </c>
      <c r="M6" s="15" t="s">
        <v>12</v>
      </c>
      <c r="N6" s="16" t="s">
        <v>8</v>
      </c>
      <c r="O6" s="15" t="s">
        <v>12</v>
      </c>
      <c r="P6" s="16" t="s">
        <v>8</v>
      </c>
      <c r="Q6" s="17" t="s">
        <v>12</v>
      </c>
      <c r="R6" s="61" t="s">
        <v>8</v>
      </c>
      <c r="S6" s="18" t="s">
        <v>74</v>
      </c>
      <c r="T6" s="14" t="s">
        <v>8</v>
      </c>
      <c r="U6" s="18" t="s">
        <v>74</v>
      </c>
      <c r="V6" s="16" t="s">
        <v>8</v>
      </c>
      <c r="W6" s="18" t="s">
        <v>74</v>
      </c>
      <c r="X6" s="19"/>
      <c r="Y6" s="20"/>
    </row>
    <row r="7" spans="1:25" s="22" customFormat="1" ht="15" customHeight="1" x14ac:dyDescent="0.25">
      <c r="A7" s="21" t="str">
        <f>Total!A7</f>
        <v>subjected to mechanical restraint</v>
      </c>
      <c r="B7" s="65" t="s">
        <v>69</v>
      </c>
      <c r="C7" s="46">
        <v>2683</v>
      </c>
      <c r="D7" s="47">
        <v>21</v>
      </c>
      <c r="E7" s="48">
        <v>0.78300000000000003</v>
      </c>
      <c r="F7" s="49">
        <v>28</v>
      </c>
      <c r="G7" s="48">
        <v>1.0436000000000001</v>
      </c>
      <c r="H7" s="49">
        <v>957</v>
      </c>
      <c r="I7" s="48">
        <v>35.668999999999997</v>
      </c>
      <c r="J7" s="49">
        <v>835</v>
      </c>
      <c r="K7" s="48">
        <v>31.122</v>
      </c>
      <c r="L7" s="49">
        <v>762</v>
      </c>
      <c r="M7" s="48">
        <v>28.401</v>
      </c>
      <c r="N7" s="50">
        <v>4</v>
      </c>
      <c r="O7" s="48">
        <v>0.14909</v>
      </c>
      <c r="P7" s="51">
        <v>76</v>
      </c>
      <c r="Q7" s="52">
        <v>2.8327</v>
      </c>
      <c r="R7" s="49">
        <v>1213</v>
      </c>
      <c r="S7" s="54">
        <v>45.210999999999999</v>
      </c>
      <c r="T7" s="53">
        <v>115</v>
      </c>
      <c r="U7" s="52">
        <v>4.2862</v>
      </c>
      <c r="V7" s="53">
        <v>258</v>
      </c>
      <c r="W7" s="54">
        <v>9.6160999999999994</v>
      </c>
      <c r="X7" s="55">
        <v>97632</v>
      </c>
      <c r="Y7" s="56">
        <v>99.701999999999998</v>
      </c>
    </row>
    <row r="8" spans="1:25" s="22" customFormat="1" ht="15" customHeight="1" x14ac:dyDescent="0.25">
      <c r="A8" s="21" t="s">
        <v>14</v>
      </c>
      <c r="B8" s="23" t="s">
        <v>17</v>
      </c>
      <c r="C8" s="24">
        <v>22</v>
      </c>
      <c r="D8" s="25">
        <v>0</v>
      </c>
      <c r="E8" s="26">
        <v>0</v>
      </c>
      <c r="F8" s="27">
        <v>0</v>
      </c>
      <c r="G8" s="26">
        <v>0</v>
      </c>
      <c r="H8" s="33">
        <v>1</v>
      </c>
      <c r="I8" s="26">
        <v>4.5454999999999997</v>
      </c>
      <c r="J8" s="27">
        <v>11</v>
      </c>
      <c r="K8" s="26">
        <v>50</v>
      </c>
      <c r="L8" s="27">
        <v>9</v>
      </c>
      <c r="M8" s="26">
        <v>40.908999999999999</v>
      </c>
      <c r="N8" s="27">
        <v>0</v>
      </c>
      <c r="O8" s="26">
        <v>0</v>
      </c>
      <c r="P8" s="35">
        <v>1</v>
      </c>
      <c r="Q8" s="29">
        <v>4.5454999999999997</v>
      </c>
      <c r="R8" s="27">
        <v>16</v>
      </c>
      <c r="S8" s="30">
        <v>72.727000000000004</v>
      </c>
      <c r="T8" s="25">
        <v>0</v>
      </c>
      <c r="U8" s="29">
        <v>0</v>
      </c>
      <c r="V8" s="34">
        <v>0</v>
      </c>
      <c r="W8" s="30">
        <v>0</v>
      </c>
      <c r="X8" s="31">
        <v>1390</v>
      </c>
      <c r="Y8" s="32">
        <v>100</v>
      </c>
    </row>
    <row r="9" spans="1:25" s="22" customFormat="1" ht="15" customHeight="1" x14ac:dyDescent="0.25">
      <c r="A9" s="21" t="s">
        <v>14</v>
      </c>
      <c r="B9" s="57" t="s">
        <v>16</v>
      </c>
      <c r="C9" s="46">
        <v>1</v>
      </c>
      <c r="D9" s="47">
        <v>1</v>
      </c>
      <c r="E9" s="48">
        <v>100</v>
      </c>
      <c r="F9" s="49">
        <v>0</v>
      </c>
      <c r="G9" s="48">
        <v>0</v>
      </c>
      <c r="H9" s="49">
        <v>0</v>
      </c>
      <c r="I9" s="48">
        <v>0</v>
      </c>
      <c r="J9" s="50">
        <v>0</v>
      </c>
      <c r="K9" s="48">
        <v>0</v>
      </c>
      <c r="L9" s="50">
        <v>0</v>
      </c>
      <c r="M9" s="48">
        <v>0</v>
      </c>
      <c r="N9" s="49">
        <v>0</v>
      </c>
      <c r="O9" s="48">
        <v>0</v>
      </c>
      <c r="P9" s="58">
        <v>0</v>
      </c>
      <c r="Q9" s="52">
        <v>0</v>
      </c>
      <c r="R9" s="49">
        <v>0</v>
      </c>
      <c r="S9" s="54">
        <v>0</v>
      </c>
      <c r="T9" s="59">
        <v>0</v>
      </c>
      <c r="U9" s="52">
        <v>0</v>
      </c>
      <c r="V9" s="59">
        <v>0</v>
      </c>
      <c r="W9" s="54">
        <v>0</v>
      </c>
      <c r="X9" s="55">
        <v>506</v>
      </c>
      <c r="Y9" s="56">
        <v>100</v>
      </c>
    </row>
    <row r="10" spans="1:25" s="22" customFormat="1" ht="15" customHeight="1" x14ac:dyDescent="0.25">
      <c r="A10" s="21" t="s">
        <v>14</v>
      </c>
      <c r="B10" s="23" t="s">
        <v>19</v>
      </c>
      <c r="C10" s="24">
        <v>11</v>
      </c>
      <c r="D10" s="34">
        <v>4</v>
      </c>
      <c r="E10" s="26">
        <v>36.363999999999997</v>
      </c>
      <c r="F10" s="27">
        <v>0</v>
      </c>
      <c r="G10" s="26">
        <v>0</v>
      </c>
      <c r="H10" s="33">
        <v>3</v>
      </c>
      <c r="I10" s="26">
        <v>27.2727</v>
      </c>
      <c r="J10" s="27">
        <v>2</v>
      </c>
      <c r="K10" s="26">
        <v>18.181999999999999</v>
      </c>
      <c r="L10" s="33">
        <v>2</v>
      </c>
      <c r="M10" s="26">
        <v>18.181999999999999</v>
      </c>
      <c r="N10" s="33">
        <v>0</v>
      </c>
      <c r="O10" s="26">
        <v>0</v>
      </c>
      <c r="P10" s="28">
        <v>0</v>
      </c>
      <c r="Q10" s="29">
        <v>0</v>
      </c>
      <c r="R10" s="27">
        <v>6</v>
      </c>
      <c r="S10" s="30">
        <v>54.545000000000002</v>
      </c>
      <c r="T10" s="34">
        <v>0</v>
      </c>
      <c r="U10" s="29">
        <v>0</v>
      </c>
      <c r="V10" s="34">
        <v>0</v>
      </c>
      <c r="W10" s="30">
        <v>0</v>
      </c>
      <c r="X10" s="31">
        <v>2000</v>
      </c>
      <c r="Y10" s="32">
        <v>100</v>
      </c>
    </row>
    <row r="11" spans="1:25" s="22" customFormat="1" ht="15" customHeight="1" x14ac:dyDescent="0.25">
      <c r="A11" s="21" t="s">
        <v>14</v>
      </c>
      <c r="B11" s="57" t="s">
        <v>18</v>
      </c>
      <c r="C11" s="46">
        <v>46</v>
      </c>
      <c r="D11" s="47">
        <v>0</v>
      </c>
      <c r="E11" s="48">
        <v>0</v>
      </c>
      <c r="F11" s="50">
        <v>0</v>
      </c>
      <c r="G11" s="48">
        <v>0</v>
      </c>
      <c r="H11" s="49">
        <v>1</v>
      </c>
      <c r="I11" s="48">
        <v>2.1739000000000002</v>
      </c>
      <c r="J11" s="49">
        <v>21</v>
      </c>
      <c r="K11" s="48">
        <v>45.652000000000001</v>
      </c>
      <c r="L11" s="49">
        <v>22</v>
      </c>
      <c r="M11" s="48">
        <v>47.826000000000001</v>
      </c>
      <c r="N11" s="49">
        <v>0</v>
      </c>
      <c r="O11" s="48">
        <v>0</v>
      </c>
      <c r="P11" s="58">
        <v>2</v>
      </c>
      <c r="Q11" s="52">
        <v>4.3478000000000003</v>
      </c>
      <c r="R11" s="49">
        <v>18</v>
      </c>
      <c r="S11" s="54">
        <v>39.130000000000003</v>
      </c>
      <c r="T11" s="59">
        <v>0</v>
      </c>
      <c r="U11" s="52">
        <v>0</v>
      </c>
      <c r="V11" s="47">
        <v>0</v>
      </c>
      <c r="W11" s="54">
        <v>0</v>
      </c>
      <c r="X11" s="55">
        <v>1088</v>
      </c>
      <c r="Y11" s="56">
        <v>100</v>
      </c>
    </row>
    <row r="12" spans="1:25" s="22" customFormat="1" ht="15" customHeight="1" x14ac:dyDescent="0.25">
      <c r="A12" s="21" t="s">
        <v>14</v>
      </c>
      <c r="B12" s="23" t="s">
        <v>20</v>
      </c>
      <c r="C12" s="24">
        <v>160</v>
      </c>
      <c r="D12" s="25">
        <v>3</v>
      </c>
      <c r="E12" s="26">
        <v>1.875</v>
      </c>
      <c r="F12" s="33">
        <v>8</v>
      </c>
      <c r="G12" s="26">
        <v>5</v>
      </c>
      <c r="H12" s="27">
        <v>89</v>
      </c>
      <c r="I12" s="26">
        <v>55.625</v>
      </c>
      <c r="J12" s="27">
        <v>32</v>
      </c>
      <c r="K12" s="26">
        <v>20</v>
      </c>
      <c r="L12" s="27">
        <v>27</v>
      </c>
      <c r="M12" s="26">
        <v>16.875</v>
      </c>
      <c r="N12" s="33">
        <v>1</v>
      </c>
      <c r="O12" s="26">
        <v>0.625</v>
      </c>
      <c r="P12" s="35">
        <v>0</v>
      </c>
      <c r="Q12" s="29">
        <v>0</v>
      </c>
      <c r="R12" s="27">
        <v>35</v>
      </c>
      <c r="S12" s="30">
        <v>21.875</v>
      </c>
      <c r="T12" s="34">
        <v>8</v>
      </c>
      <c r="U12" s="29">
        <v>5</v>
      </c>
      <c r="V12" s="25">
        <v>25</v>
      </c>
      <c r="W12" s="30">
        <v>15.625</v>
      </c>
      <c r="X12" s="31">
        <v>10121</v>
      </c>
      <c r="Y12" s="32">
        <v>100</v>
      </c>
    </row>
    <row r="13" spans="1:25" s="22" customFormat="1" ht="15" customHeight="1" x14ac:dyDescent="0.25">
      <c r="A13" s="21" t="s">
        <v>14</v>
      </c>
      <c r="B13" s="57" t="s">
        <v>21</v>
      </c>
      <c r="C13" s="46">
        <v>89</v>
      </c>
      <c r="D13" s="47">
        <v>0</v>
      </c>
      <c r="E13" s="48">
        <v>0</v>
      </c>
      <c r="F13" s="50">
        <v>0</v>
      </c>
      <c r="G13" s="48">
        <v>0</v>
      </c>
      <c r="H13" s="49">
        <v>43</v>
      </c>
      <c r="I13" s="48">
        <v>48.314599999999999</v>
      </c>
      <c r="J13" s="50">
        <v>15</v>
      </c>
      <c r="K13" s="48">
        <v>16.853999999999999</v>
      </c>
      <c r="L13" s="49">
        <v>31</v>
      </c>
      <c r="M13" s="48">
        <v>34.831000000000003</v>
      </c>
      <c r="N13" s="49">
        <v>0</v>
      </c>
      <c r="O13" s="48">
        <v>0</v>
      </c>
      <c r="P13" s="51">
        <v>0</v>
      </c>
      <c r="Q13" s="52">
        <v>0</v>
      </c>
      <c r="R13" s="49">
        <v>28</v>
      </c>
      <c r="S13" s="54">
        <v>31.460999999999999</v>
      </c>
      <c r="T13" s="47">
        <v>0</v>
      </c>
      <c r="U13" s="52">
        <v>0</v>
      </c>
      <c r="V13" s="59">
        <v>0</v>
      </c>
      <c r="W13" s="54">
        <v>0</v>
      </c>
      <c r="X13" s="55">
        <v>1908</v>
      </c>
      <c r="Y13" s="56">
        <v>100</v>
      </c>
    </row>
    <row r="14" spans="1:25" s="22" customFormat="1" ht="15" customHeight="1" x14ac:dyDescent="0.25">
      <c r="A14" s="21" t="s">
        <v>14</v>
      </c>
      <c r="B14" s="23" t="s">
        <v>22</v>
      </c>
      <c r="C14" s="36">
        <v>20</v>
      </c>
      <c r="D14" s="25">
        <v>0</v>
      </c>
      <c r="E14" s="26">
        <v>0</v>
      </c>
      <c r="F14" s="27">
        <v>0</v>
      </c>
      <c r="G14" s="26">
        <v>0</v>
      </c>
      <c r="H14" s="33">
        <v>2</v>
      </c>
      <c r="I14" s="26">
        <v>10</v>
      </c>
      <c r="J14" s="33">
        <v>5</v>
      </c>
      <c r="K14" s="26">
        <v>25</v>
      </c>
      <c r="L14" s="33">
        <v>13</v>
      </c>
      <c r="M14" s="26">
        <v>65</v>
      </c>
      <c r="N14" s="27">
        <v>0</v>
      </c>
      <c r="O14" s="26">
        <v>0</v>
      </c>
      <c r="P14" s="28">
        <v>0</v>
      </c>
      <c r="Q14" s="29">
        <v>0</v>
      </c>
      <c r="R14" s="27">
        <v>17</v>
      </c>
      <c r="S14" s="30">
        <v>85</v>
      </c>
      <c r="T14" s="34">
        <v>1</v>
      </c>
      <c r="U14" s="29">
        <v>5</v>
      </c>
      <c r="V14" s="25">
        <v>0</v>
      </c>
      <c r="W14" s="30">
        <v>0</v>
      </c>
      <c r="X14" s="31">
        <v>1214</v>
      </c>
      <c r="Y14" s="32">
        <v>100</v>
      </c>
    </row>
    <row r="15" spans="1:25" s="22" customFormat="1" ht="15" customHeight="1" x14ac:dyDescent="0.25">
      <c r="A15" s="21" t="s">
        <v>14</v>
      </c>
      <c r="B15" s="57" t="s">
        <v>24</v>
      </c>
      <c r="C15" s="60">
        <v>0</v>
      </c>
      <c r="D15" s="47">
        <v>0</v>
      </c>
      <c r="E15" s="48">
        <v>0</v>
      </c>
      <c r="F15" s="49">
        <v>0</v>
      </c>
      <c r="G15" s="48">
        <v>0</v>
      </c>
      <c r="H15" s="49">
        <v>0</v>
      </c>
      <c r="I15" s="48">
        <v>0</v>
      </c>
      <c r="J15" s="50">
        <v>0</v>
      </c>
      <c r="K15" s="48">
        <v>0</v>
      </c>
      <c r="L15" s="49">
        <v>0</v>
      </c>
      <c r="M15" s="48">
        <v>0</v>
      </c>
      <c r="N15" s="50">
        <v>0</v>
      </c>
      <c r="O15" s="48">
        <v>0</v>
      </c>
      <c r="P15" s="51">
        <v>0</v>
      </c>
      <c r="Q15" s="52">
        <v>0</v>
      </c>
      <c r="R15" s="49">
        <v>0</v>
      </c>
      <c r="S15" s="54">
        <v>0</v>
      </c>
      <c r="T15" s="59">
        <v>0</v>
      </c>
      <c r="U15" s="52">
        <v>0</v>
      </c>
      <c r="V15" s="47">
        <v>0</v>
      </c>
      <c r="W15" s="54">
        <v>0</v>
      </c>
      <c r="X15" s="55">
        <v>231</v>
      </c>
      <c r="Y15" s="56">
        <v>100</v>
      </c>
    </row>
    <row r="16" spans="1:25" s="22" customFormat="1" ht="15" customHeight="1" x14ac:dyDescent="0.25">
      <c r="A16" s="21" t="s">
        <v>14</v>
      </c>
      <c r="B16" s="23" t="s">
        <v>23</v>
      </c>
      <c r="C16" s="36">
        <v>6</v>
      </c>
      <c r="D16" s="34">
        <v>0</v>
      </c>
      <c r="E16" s="26">
        <v>0</v>
      </c>
      <c r="F16" s="33">
        <v>0</v>
      </c>
      <c r="G16" s="26">
        <v>0</v>
      </c>
      <c r="H16" s="27">
        <v>0</v>
      </c>
      <c r="I16" s="26">
        <v>0</v>
      </c>
      <c r="J16" s="33">
        <v>6</v>
      </c>
      <c r="K16" s="26">
        <v>100</v>
      </c>
      <c r="L16" s="27">
        <v>0</v>
      </c>
      <c r="M16" s="26">
        <v>0</v>
      </c>
      <c r="N16" s="33">
        <v>0</v>
      </c>
      <c r="O16" s="26">
        <v>0</v>
      </c>
      <c r="P16" s="28">
        <v>0</v>
      </c>
      <c r="Q16" s="29">
        <v>0</v>
      </c>
      <c r="R16" s="27">
        <v>6</v>
      </c>
      <c r="S16" s="30">
        <v>100</v>
      </c>
      <c r="T16" s="25">
        <v>0</v>
      </c>
      <c r="U16" s="29">
        <v>0</v>
      </c>
      <c r="V16" s="25">
        <v>0</v>
      </c>
      <c r="W16" s="30">
        <v>0</v>
      </c>
      <c r="X16" s="31">
        <v>228</v>
      </c>
      <c r="Y16" s="32">
        <v>100</v>
      </c>
    </row>
    <row r="17" spans="1:25" s="22" customFormat="1" ht="15" customHeight="1" x14ac:dyDescent="0.25">
      <c r="A17" s="21" t="s">
        <v>14</v>
      </c>
      <c r="B17" s="57" t="s">
        <v>25</v>
      </c>
      <c r="C17" s="46">
        <v>45</v>
      </c>
      <c r="D17" s="47">
        <v>0</v>
      </c>
      <c r="E17" s="48">
        <v>0</v>
      </c>
      <c r="F17" s="50">
        <v>0</v>
      </c>
      <c r="G17" s="48">
        <v>0</v>
      </c>
      <c r="H17" s="49">
        <v>14</v>
      </c>
      <c r="I17" s="48">
        <v>31.1111</v>
      </c>
      <c r="J17" s="50">
        <v>12</v>
      </c>
      <c r="K17" s="48">
        <v>26.667000000000002</v>
      </c>
      <c r="L17" s="50">
        <v>16</v>
      </c>
      <c r="M17" s="48">
        <v>35.555999999999997</v>
      </c>
      <c r="N17" s="50">
        <v>0</v>
      </c>
      <c r="O17" s="48">
        <v>0</v>
      </c>
      <c r="P17" s="58">
        <v>3</v>
      </c>
      <c r="Q17" s="52">
        <v>6.6666999999999996</v>
      </c>
      <c r="R17" s="49">
        <v>42</v>
      </c>
      <c r="S17" s="54">
        <v>93.332999999999998</v>
      </c>
      <c r="T17" s="47">
        <v>1</v>
      </c>
      <c r="U17" s="52">
        <v>2.2222</v>
      </c>
      <c r="V17" s="47">
        <v>2</v>
      </c>
      <c r="W17" s="54">
        <v>4.4443999999999999</v>
      </c>
      <c r="X17" s="55">
        <v>3976</v>
      </c>
      <c r="Y17" s="56">
        <v>100</v>
      </c>
    </row>
    <row r="18" spans="1:25" s="22" customFormat="1" ht="15" customHeight="1" x14ac:dyDescent="0.25">
      <c r="A18" s="21" t="s">
        <v>14</v>
      </c>
      <c r="B18" s="23" t="s">
        <v>26</v>
      </c>
      <c r="C18" s="24">
        <v>172</v>
      </c>
      <c r="D18" s="34">
        <v>0</v>
      </c>
      <c r="E18" s="26">
        <v>0</v>
      </c>
      <c r="F18" s="27">
        <v>1</v>
      </c>
      <c r="G18" s="26">
        <v>0.58140000000000003</v>
      </c>
      <c r="H18" s="27">
        <v>8</v>
      </c>
      <c r="I18" s="26">
        <v>4.6512000000000002</v>
      </c>
      <c r="J18" s="27">
        <v>120</v>
      </c>
      <c r="K18" s="26">
        <v>69.766999999999996</v>
      </c>
      <c r="L18" s="27">
        <v>41</v>
      </c>
      <c r="M18" s="26">
        <v>23.837</v>
      </c>
      <c r="N18" s="27">
        <v>0</v>
      </c>
      <c r="O18" s="26">
        <v>0</v>
      </c>
      <c r="P18" s="28">
        <v>2</v>
      </c>
      <c r="Q18" s="29">
        <v>1.1628000000000001</v>
      </c>
      <c r="R18" s="27">
        <v>114</v>
      </c>
      <c r="S18" s="30">
        <v>66.278999999999996</v>
      </c>
      <c r="T18" s="34">
        <v>1</v>
      </c>
      <c r="U18" s="29">
        <v>0.58140000000000003</v>
      </c>
      <c r="V18" s="25">
        <v>2</v>
      </c>
      <c r="W18" s="30">
        <v>1.1628000000000001</v>
      </c>
      <c r="X18" s="31">
        <v>2416</v>
      </c>
      <c r="Y18" s="32">
        <v>100</v>
      </c>
    </row>
    <row r="19" spans="1:25" s="22" customFormat="1" ht="15" customHeight="1" x14ac:dyDescent="0.25">
      <c r="A19" s="21" t="s">
        <v>14</v>
      </c>
      <c r="B19" s="57" t="s">
        <v>27</v>
      </c>
      <c r="C19" s="46">
        <v>0</v>
      </c>
      <c r="D19" s="47">
        <v>0</v>
      </c>
      <c r="E19" s="48">
        <v>0</v>
      </c>
      <c r="F19" s="49">
        <v>0</v>
      </c>
      <c r="G19" s="48">
        <v>0</v>
      </c>
      <c r="H19" s="49">
        <v>0</v>
      </c>
      <c r="I19" s="48">
        <v>0</v>
      </c>
      <c r="J19" s="49">
        <v>0</v>
      </c>
      <c r="K19" s="48">
        <v>0</v>
      </c>
      <c r="L19" s="49">
        <v>0</v>
      </c>
      <c r="M19" s="48">
        <v>0</v>
      </c>
      <c r="N19" s="49">
        <v>0</v>
      </c>
      <c r="O19" s="48">
        <v>0</v>
      </c>
      <c r="P19" s="51">
        <v>0</v>
      </c>
      <c r="Q19" s="52">
        <v>0</v>
      </c>
      <c r="R19" s="49">
        <v>0</v>
      </c>
      <c r="S19" s="54">
        <v>0</v>
      </c>
      <c r="T19" s="47">
        <v>0</v>
      </c>
      <c r="U19" s="52">
        <v>0</v>
      </c>
      <c r="V19" s="47">
        <v>0</v>
      </c>
      <c r="W19" s="54">
        <v>0</v>
      </c>
      <c r="X19" s="55">
        <v>292</v>
      </c>
      <c r="Y19" s="56">
        <v>100</v>
      </c>
    </row>
    <row r="20" spans="1:25" s="22" customFormat="1" ht="15" customHeight="1" x14ac:dyDescent="0.25">
      <c r="A20" s="21" t="s">
        <v>14</v>
      </c>
      <c r="B20" s="23" t="s">
        <v>29</v>
      </c>
      <c r="C20" s="36">
        <v>9</v>
      </c>
      <c r="D20" s="34">
        <v>0</v>
      </c>
      <c r="E20" s="26">
        <v>0</v>
      </c>
      <c r="F20" s="33">
        <v>0</v>
      </c>
      <c r="G20" s="26">
        <v>0</v>
      </c>
      <c r="H20" s="27">
        <v>3</v>
      </c>
      <c r="I20" s="26">
        <v>33.333300000000001</v>
      </c>
      <c r="J20" s="33">
        <v>0</v>
      </c>
      <c r="K20" s="26">
        <v>0</v>
      </c>
      <c r="L20" s="33">
        <v>6</v>
      </c>
      <c r="M20" s="26">
        <v>66.667000000000002</v>
      </c>
      <c r="N20" s="33">
        <v>0</v>
      </c>
      <c r="O20" s="26">
        <v>0</v>
      </c>
      <c r="P20" s="28">
        <v>0</v>
      </c>
      <c r="Q20" s="29">
        <v>0</v>
      </c>
      <c r="R20" s="27">
        <v>2</v>
      </c>
      <c r="S20" s="30">
        <v>22.222000000000001</v>
      </c>
      <c r="T20" s="34">
        <v>0</v>
      </c>
      <c r="U20" s="29">
        <v>0</v>
      </c>
      <c r="V20" s="25">
        <v>0</v>
      </c>
      <c r="W20" s="30">
        <v>0</v>
      </c>
      <c r="X20" s="31">
        <v>725</v>
      </c>
      <c r="Y20" s="32">
        <v>100</v>
      </c>
    </row>
    <row r="21" spans="1:25" s="22" customFormat="1" ht="15" customHeight="1" x14ac:dyDescent="0.25">
      <c r="A21" s="21" t="s">
        <v>14</v>
      </c>
      <c r="B21" s="57" t="s">
        <v>30</v>
      </c>
      <c r="C21" s="46">
        <v>115</v>
      </c>
      <c r="D21" s="59">
        <v>0</v>
      </c>
      <c r="E21" s="48">
        <v>0</v>
      </c>
      <c r="F21" s="49">
        <v>0</v>
      </c>
      <c r="G21" s="48">
        <v>0</v>
      </c>
      <c r="H21" s="50">
        <v>69</v>
      </c>
      <c r="I21" s="48">
        <v>60</v>
      </c>
      <c r="J21" s="49">
        <v>27</v>
      </c>
      <c r="K21" s="48">
        <v>23.478000000000002</v>
      </c>
      <c r="L21" s="49">
        <v>13</v>
      </c>
      <c r="M21" s="48">
        <v>11.304</v>
      </c>
      <c r="N21" s="49">
        <v>0</v>
      </c>
      <c r="O21" s="48">
        <v>0</v>
      </c>
      <c r="P21" s="58">
        <v>6</v>
      </c>
      <c r="Q21" s="52">
        <v>5.2173999999999996</v>
      </c>
      <c r="R21" s="49">
        <v>97</v>
      </c>
      <c r="S21" s="54">
        <v>84.347999999999999</v>
      </c>
      <c r="T21" s="47">
        <v>1</v>
      </c>
      <c r="U21" s="52">
        <v>0.86960000000000004</v>
      </c>
      <c r="V21" s="59">
        <v>61</v>
      </c>
      <c r="W21" s="54">
        <v>53.043500000000002</v>
      </c>
      <c r="X21" s="55">
        <v>4145</v>
      </c>
      <c r="Y21" s="56">
        <v>100</v>
      </c>
    </row>
    <row r="22" spans="1:25" s="22" customFormat="1" ht="15" customHeight="1" x14ac:dyDescent="0.25">
      <c r="A22" s="21" t="s">
        <v>14</v>
      </c>
      <c r="B22" s="23" t="s">
        <v>31</v>
      </c>
      <c r="C22" s="24">
        <v>74</v>
      </c>
      <c r="D22" s="25">
        <v>0</v>
      </c>
      <c r="E22" s="26">
        <v>0</v>
      </c>
      <c r="F22" s="33">
        <v>0</v>
      </c>
      <c r="G22" s="26">
        <v>0</v>
      </c>
      <c r="H22" s="33">
        <v>7</v>
      </c>
      <c r="I22" s="26">
        <v>9.4595000000000002</v>
      </c>
      <c r="J22" s="27">
        <v>22</v>
      </c>
      <c r="K22" s="26">
        <v>29.73</v>
      </c>
      <c r="L22" s="27">
        <v>41</v>
      </c>
      <c r="M22" s="26">
        <v>55.405000000000001</v>
      </c>
      <c r="N22" s="27">
        <v>0</v>
      </c>
      <c r="O22" s="26">
        <v>0</v>
      </c>
      <c r="P22" s="35">
        <v>4</v>
      </c>
      <c r="Q22" s="29">
        <v>5.4054000000000002</v>
      </c>
      <c r="R22" s="27">
        <v>37</v>
      </c>
      <c r="S22" s="30">
        <v>50</v>
      </c>
      <c r="T22" s="34">
        <v>0</v>
      </c>
      <c r="U22" s="29">
        <v>0</v>
      </c>
      <c r="V22" s="34">
        <v>5</v>
      </c>
      <c r="W22" s="30">
        <v>6.7568000000000001</v>
      </c>
      <c r="X22" s="31">
        <v>1886</v>
      </c>
      <c r="Y22" s="32">
        <v>100</v>
      </c>
    </row>
    <row r="23" spans="1:25" s="22" customFormat="1" ht="15" customHeight="1" x14ac:dyDescent="0.25">
      <c r="A23" s="21" t="s">
        <v>14</v>
      </c>
      <c r="B23" s="57" t="s">
        <v>28</v>
      </c>
      <c r="C23" s="46">
        <v>2</v>
      </c>
      <c r="D23" s="47">
        <v>0</v>
      </c>
      <c r="E23" s="48">
        <v>0</v>
      </c>
      <c r="F23" s="49">
        <v>0</v>
      </c>
      <c r="G23" s="48">
        <v>0</v>
      </c>
      <c r="H23" s="49">
        <v>0</v>
      </c>
      <c r="I23" s="48">
        <v>0</v>
      </c>
      <c r="J23" s="49">
        <v>0</v>
      </c>
      <c r="K23" s="48">
        <v>0</v>
      </c>
      <c r="L23" s="49">
        <v>2</v>
      </c>
      <c r="M23" s="48">
        <v>100</v>
      </c>
      <c r="N23" s="49">
        <v>0</v>
      </c>
      <c r="O23" s="48">
        <v>0</v>
      </c>
      <c r="P23" s="58">
        <v>0</v>
      </c>
      <c r="Q23" s="52">
        <v>0</v>
      </c>
      <c r="R23" s="49">
        <v>0</v>
      </c>
      <c r="S23" s="54">
        <v>0</v>
      </c>
      <c r="T23" s="59">
        <v>0</v>
      </c>
      <c r="U23" s="52">
        <v>0</v>
      </c>
      <c r="V23" s="47">
        <v>0</v>
      </c>
      <c r="W23" s="54">
        <v>0</v>
      </c>
      <c r="X23" s="55">
        <v>1343</v>
      </c>
      <c r="Y23" s="56">
        <v>100</v>
      </c>
    </row>
    <row r="24" spans="1:25" s="22" customFormat="1" ht="15" customHeight="1" x14ac:dyDescent="0.25">
      <c r="A24" s="21" t="s">
        <v>14</v>
      </c>
      <c r="B24" s="23" t="s">
        <v>32</v>
      </c>
      <c r="C24" s="24">
        <v>34</v>
      </c>
      <c r="D24" s="34">
        <v>1</v>
      </c>
      <c r="E24" s="26">
        <v>2.9409999999999998</v>
      </c>
      <c r="F24" s="27">
        <v>0</v>
      </c>
      <c r="G24" s="26">
        <v>0</v>
      </c>
      <c r="H24" s="33">
        <v>12</v>
      </c>
      <c r="I24" s="26">
        <v>35.2941</v>
      </c>
      <c r="J24" s="27">
        <v>14</v>
      </c>
      <c r="K24" s="26">
        <v>41.176000000000002</v>
      </c>
      <c r="L24" s="27">
        <v>7</v>
      </c>
      <c r="M24" s="26">
        <v>20.588000000000001</v>
      </c>
      <c r="N24" s="27">
        <v>0</v>
      </c>
      <c r="O24" s="26">
        <v>0</v>
      </c>
      <c r="P24" s="35">
        <v>0</v>
      </c>
      <c r="Q24" s="29">
        <v>0</v>
      </c>
      <c r="R24" s="27">
        <v>12</v>
      </c>
      <c r="S24" s="30">
        <v>35.293999999999997</v>
      </c>
      <c r="T24" s="34">
        <v>0</v>
      </c>
      <c r="U24" s="29">
        <v>0</v>
      </c>
      <c r="V24" s="25">
        <v>0</v>
      </c>
      <c r="W24" s="30">
        <v>0</v>
      </c>
      <c r="X24" s="31">
        <v>1350</v>
      </c>
      <c r="Y24" s="32">
        <v>100</v>
      </c>
    </row>
    <row r="25" spans="1:25" s="22" customFormat="1" ht="15" customHeight="1" x14ac:dyDescent="0.25">
      <c r="A25" s="21" t="s">
        <v>14</v>
      </c>
      <c r="B25" s="57" t="s">
        <v>33</v>
      </c>
      <c r="C25" s="60">
        <v>2</v>
      </c>
      <c r="D25" s="47">
        <v>0</v>
      </c>
      <c r="E25" s="48">
        <v>0</v>
      </c>
      <c r="F25" s="49">
        <v>0</v>
      </c>
      <c r="G25" s="48">
        <v>0</v>
      </c>
      <c r="H25" s="49">
        <v>0</v>
      </c>
      <c r="I25" s="48">
        <v>0</v>
      </c>
      <c r="J25" s="49">
        <v>0</v>
      </c>
      <c r="K25" s="48">
        <v>0</v>
      </c>
      <c r="L25" s="50">
        <v>2</v>
      </c>
      <c r="M25" s="48">
        <v>100</v>
      </c>
      <c r="N25" s="49">
        <v>0</v>
      </c>
      <c r="O25" s="48">
        <v>0</v>
      </c>
      <c r="P25" s="58">
        <v>0</v>
      </c>
      <c r="Q25" s="52">
        <v>0</v>
      </c>
      <c r="R25" s="49">
        <v>2</v>
      </c>
      <c r="S25" s="54">
        <v>100</v>
      </c>
      <c r="T25" s="47">
        <v>0</v>
      </c>
      <c r="U25" s="52">
        <v>0</v>
      </c>
      <c r="V25" s="47">
        <v>0</v>
      </c>
      <c r="W25" s="54">
        <v>0</v>
      </c>
      <c r="X25" s="55">
        <v>1401</v>
      </c>
      <c r="Y25" s="56">
        <v>100</v>
      </c>
    </row>
    <row r="26" spans="1:25" s="22" customFormat="1" ht="15" customHeight="1" x14ac:dyDescent="0.25">
      <c r="A26" s="21" t="s">
        <v>14</v>
      </c>
      <c r="B26" s="23" t="s">
        <v>34</v>
      </c>
      <c r="C26" s="24">
        <v>1</v>
      </c>
      <c r="D26" s="25">
        <v>0</v>
      </c>
      <c r="E26" s="26">
        <v>0</v>
      </c>
      <c r="F26" s="33">
        <v>0</v>
      </c>
      <c r="G26" s="26">
        <v>0</v>
      </c>
      <c r="H26" s="33">
        <v>0</v>
      </c>
      <c r="I26" s="26">
        <v>0</v>
      </c>
      <c r="J26" s="27">
        <v>1</v>
      </c>
      <c r="K26" s="26">
        <v>100</v>
      </c>
      <c r="L26" s="27">
        <v>0</v>
      </c>
      <c r="M26" s="26">
        <v>0</v>
      </c>
      <c r="N26" s="33">
        <v>0</v>
      </c>
      <c r="O26" s="26">
        <v>0</v>
      </c>
      <c r="P26" s="35">
        <v>0</v>
      </c>
      <c r="Q26" s="29">
        <v>0</v>
      </c>
      <c r="R26" s="27">
        <v>1</v>
      </c>
      <c r="S26" s="30">
        <v>100</v>
      </c>
      <c r="T26" s="25">
        <v>0</v>
      </c>
      <c r="U26" s="29">
        <v>0</v>
      </c>
      <c r="V26" s="25">
        <v>0</v>
      </c>
      <c r="W26" s="30">
        <v>0</v>
      </c>
      <c r="X26" s="31">
        <v>1365</v>
      </c>
      <c r="Y26" s="32">
        <v>100</v>
      </c>
    </row>
    <row r="27" spans="1:25" s="22" customFormat="1" ht="15" customHeight="1" x14ac:dyDescent="0.25">
      <c r="A27" s="21" t="s">
        <v>14</v>
      </c>
      <c r="B27" s="57" t="s">
        <v>37</v>
      </c>
      <c r="C27" s="60">
        <v>18</v>
      </c>
      <c r="D27" s="59">
        <v>0</v>
      </c>
      <c r="E27" s="48">
        <v>0</v>
      </c>
      <c r="F27" s="49">
        <v>0</v>
      </c>
      <c r="G27" s="48">
        <v>0</v>
      </c>
      <c r="H27" s="49">
        <v>0</v>
      </c>
      <c r="I27" s="48">
        <v>0</v>
      </c>
      <c r="J27" s="49">
        <v>0</v>
      </c>
      <c r="K27" s="48">
        <v>0</v>
      </c>
      <c r="L27" s="50">
        <v>18</v>
      </c>
      <c r="M27" s="48">
        <v>100</v>
      </c>
      <c r="N27" s="49">
        <v>0</v>
      </c>
      <c r="O27" s="48">
        <v>0</v>
      </c>
      <c r="P27" s="58">
        <v>0</v>
      </c>
      <c r="Q27" s="52">
        <v>0</v>
      </c>
      <c r="R27" s="49">
        <v>18</v>
      </c>
      <c r="S27" s="54">
        <v>100</v>
      </c>
      <c r="T27" s="59">
        <v>0</v>
      </c>
      <c r="U27" s="52">
        <v>0</v>
      </c>
      <c r="V27" s="47">
        <v>0</v>
      </c>
      <c r="W27" s="54">
        <v>0</v>
      </c>
      <c r="X27" s="55">
        <v>579</v>
      </c>
      <c r="Y27" s="56">
        <v>100</v>
      </c>
    </row>
    <row r="28" spans="1:25" s="22" customFormat="1" ht="15" customHeight="1" x14ac:dyDescent="0.25">
      <c r="A28" s="21" t="s">
        <v>14</v>
      </c>
      <c r="B28" s="23" t="s">
        <v>36</v>
      </c>
      <c r="C28" s="36">
        <v>1</v>
      </c>
      <c r="D28" s="34">
        <v>0</v>
      </c>
      <c r="E28" s="26">
        <v>0</v>
      </c>
      <c r="F28" s="27">
        <v>0</v>
      </c>
      <c r="G28" s="26">
        <v>0</v>
      </c>
      <c r="H28" s="27">
        <v>0</v>
      </c>
      <c r="I28" s="26">
        <v>0</v>
      </c>
      <c r="J28" s="27">
        <v>0</v>
      </c>
      <c r="K28" s="26">
        <v>0</v>
      </c>
      <c r="L28" s="33">
        <v>1</v>
      </c>
      <c r="M28" s="26">
        <v>100</v>
      </c>
      <c r="N28" s="27">
        <v>0</v>
      </c>
      <c r="O28" s="26">
        <v>0</v>
      </c>
      <c r="P28" s="28">
        <v>0</v>
      </c>
      <c r="Q28" s="29">
        <v>0</v>
      </c>
      <c r="R28" s="27">
        <v>1</v>
      </c>
      <c r="S28" s="30">
        <v>100</v>
      </c>
      <c r="T28" s="25">
        <v>0</v>
      </c>
      <c r="U28" s="29">
        <v>0</v>
      </c>
      <c r="V28" s="34">
        <v>0</v>
      </c>
      <c r="W28" s="30">
        <v>0</v>
      </c>
      <c r="X28" s="31">
        <v>1414</v>
      </c>
      <c r="Y28" s="32">
        <v>100</v>
      </c>
    </row>
    <row r="29" spans="1:25" s="22" customFormat="1" ht="15" customHeight="1" x14ac:dyDescent="0.25">
      <c r="A29" s="21" t="s">
        <v>14</v>
      </c>
      <c r="B29" s="57" t="s">
        <v>35</v>
      </c>
      <c r="C29" s="46">
        <v>29</v>
      </c>
      <c r="D29" s="47">
        <v>0</v>
      </c>
      <c r="E29" s="48">
        <v>0</v>
      </c>
      <c r="F29" s="49">
        <v>0</v>
      </c>
      <c r="G29" s="48">
        <v>0</v>
      </c>
      <c r="H29" s="50">
        <v>8</v>
      </c>
      <c r="I29" s="48">
        <v>27.586200000000002</v>
      </c>
      <c r="J29" s="49">
        <v>11</v>
      </c>
      <c r="K29" s="48">
        <v>37.930999999999997</v>
      </c>
      <c r="L29" s="50">
        <v>10</v>
      </c>
      <c r="M29" s="48">
        <v>34.482999999999997</v>
      </c>
      <c r="N29" s="49">
        <v>0</v>
      </c>
      <c r="O29" s="48">
        <v>0</v>
      </c>
      <c r="P29" s="58">
        <v>0</v>
      </c>
      <c r="Q29" s="52">
        <v>0</v>
      </c>
      <c r="R29" s="49">
        <v>21</v>
      </c>
      <c r="S29" s="54">
        <v>72.414000000000001</v>
      </c>
      <c r="T29" s="47">
        <v>3</v>
      </c>
      <c r="U29" s="52">
        <v>10.344799999999999</v>
      </c>
      <c r="V29" s="47">
        <v>4</v>
      </c>
      <c r="W29" s="54">
        <v>13.793100000000001</v>
      </c>
      <c r="X29" s="55">
        <v>1870</v>
      </c>
      <c r="Y29" s="56">
        <v>99.465000000000003</v>
      </c>
    </row>
    <row r="30" spans="1:25" s="22" customFormat="1" ht="15" customHeight="1" x14ac:dyDescent="0.25">
      <c r="A30" s="21" t="s">
        <v>14</v>
      </c>
      <c r="B30" s="23" t="s">
        <v>38</v>
      </c>
      <c r="C30" s="24">
        <v>40</v>
      </c>
      <c r="D30" s="34">
        <v>0</v>
      </c>
      <c r="E30" s="26">
        <v>0</v>
      </c>
      <c r="F30" s="33">
        <v>0</v>
      </c>
      <c r="G30" s="26">
        <v>0</v>
      </c>
      <c r="H30" s="27">
        <v>1</v>
      </c>
      <c r="I30" s="26">
        <v>2.5</v>
      </c>
      <c r="J30" s="27">
        <v>22</v>
      </c>
      <c r="K30" s="26">
        <v>55</v>
      </c>
      <c r="L30" s="27">
        <v>17</v>
      </c>
      <c r="M30" s="26">
        <v>42.5</v>
      </c>
      <c r="N30" s="27">
        <v>0</v>
      </c>
      <c r="O30" s="26">
        <v>0</v>
      </c>
      <c r="P30" s="28">
        <v>0</v>
      </c>
      <c r="Q30" s="29">
        <v>0</v>
      </c>
      <c r="R30" s="27">
        <v>28</v>
      </c>
      <c r="S30" s="30">
        <v>70</v>
      </c>
      <c r="T30" s="25">
        <v>0</v>
      </c>
      <c r="U30" s="29">
        <v>0</v>
      </c>
      <c r="V30" s="34">
        <v>1</v>
      </c>
      <c r="W30" s="30">
        <v>2.5</v>
      </c>
      <c r="X30" s="31">
        <v>3559</v>
      </c>
      <c r="Y30" s="32">
        <v>100</v>
      </c>
    </row>
    <row r="31" spans="1:25" s="22" customFormat="1" ht="15" customHeight="1" x14ac:dyDescent="0.25">
      <c r="A31" s="21" t="s">
        <v>14</v>
      </c>
      <c r="B31" s="57" t="s">
        <v>39</v>
      </c>
      <c r="C31" s="60">
        <v>7</v>
      </c>
      <c r="D31" s="47">
        <v>0</v>
      </c>
      <c r="E31" s="48">
        <v>0</v>
      </c>
      <c r="F31" s="50">
        <v>0</v>
      </c>
      <c r="G31" s="48">
        <v>0</v>
      </c>
      <c r="H31" s="49">
        <v>1</v>
      </c>
      <c r="I31" s="48">
        <v>14.2857</v>
      </c>
      <c r="J31" s="50">
        <v>5</v>
      </c>
      <c r="K31" s="48">
        <v>71.429000000000002</v>
      </c>
      <c r="L31" s="49">
        <v>1</v>
      </c>
      <c r="M31" s="48">
        <v>14.286</v>
      </c>
      <c r="N31" s="49">
        <v>0</v>
      </c>
      <c r="O31" s="48">
        <v>0</v>
      </c>
      <c r="P31" s="51">
        <v>0</v>
      </c>
      <c r="Q31" s="52">
        <v>0</v>
      </c>
      <c r="R31" s="49">
        <v>4</v>
      </c>
      <c r="S31" s="54">
        <v>57.143000000000001</v>
      </c>
      <c r="T31" s="47">
        <v>0</v>
      </c>
      <c r="U31" s="52">
        <v>0</v>
      </c>
      <c r="V31" s="59">
        <v>0</v>
      </c>
      <c r="W31" s="54">
        <v>0</v>
      </c>
      <c r="X31" s="55">
        <v>2232</v>
      </c>
      <c r="Y31" s="56">
        <v>100</v>
      </c>
    </row>
    <row r="32" spans="1:25" s="22" customFormat="1" ht="15" customHeight="1" x14ac:dyDescent="0.25">
      <c r="A32" s="21" t="s">
        <v>14</v>
      </c>
      <c r="B32" s="23" t="s">
        <v>41</v>
      </c>
      <c r="C32" s="24">
        <v>53</v>
      </c>
      <c r="D32" s="25">
        <v>0</v>
      </c>
      <c r="E32" s="26">
        <v>0</v>
      </c>
      <c r="F32" s="27">
        <v>0</v>
      </c>
      <c r="G32" s="26">
        <v>0</v>
      </c>
      <c r="H32" s="27">
        <v>2</v>
      </c>
      <c r="I32" s="26">
        <v>3.7736000000000001</v>
      </c>
      <c r="J32" s="27">
        <v>18</v>
      </c>
      <c r="K32" s="26">
        <v>33.962000000000003</v>
      </c>
      <c r="L32" s="33">
        <v>32</v>
      </c>
      <c r="M32" s="26">
        <v>60.377000000000002</v>
      </c>
      <c r="N32" s="33">
        <v>0</v>
      </c>
      <c r="O32" s="26">
        <v>0</v>
      </c>
      <c r="P32" s="35">
        <v>1</v>
      </c>
      <c r="Q32" s="29">
        <v>1.8868</v>
      </c>
      <c r="R32" s="27">
        <v>21</v>
      </c>
      <c r="S32" s="30">
        <v>39.622999999999998</v>
      </c>
      <c r="T32" s="34">
        <v>0</v>
      </c>
      <c r="U32" s="29">
        <v>0</v>
      </c>
      <c r="V32" s="25">
        <v>1</v>
      </c>
      <c r="W32" s="30">
        <v>1.8868</v>
      </c>
      <c r="X32" s="31">
        <v>960</v>
      </c>
      <c r="Y32" s="32">
        <v>100</v>
      </c>
    </row>
    <row r="33" spans="1:25" s="22" customFormat="1" ht="15" customHeight="1" x14ac:dyDescent="0.25">
      <c r="A33" s="21" t="s">
        <v>14</v>
      </c>
      <c r="B33" s="57" t="s">
        <v>40</v>
      </c>
      <c r="C33" s="46">
        <v>41</v>
      </c>
      <c r="D33" s="59">
        <v>0</v>
      </c>
      <c r="E33" s="48">
        <v>0</v>
      </c>
      <c r="F33" s="49">
        <v>0</v>
      </c>
      <c r="G33" s="48">
        <v>0</v>
      </c>
      <c r="H33" s="50">
        <v>1</v>
      </c>
      <c r="I33" s="48">
        <v>2.4390000000000001</v>
      </c>
      <c r="J33" s="49">
        <v>16</v>
      </c>
      <c r="K33" s="48">
        <v>39.024000000000001</v>
      </c>
      <c r="L33" s="49">
        <v>23</v>
      </c>
      <c r="M33" s="48">
        <v>56.097999999999999</v>
      </c>
      <c r="N33" s="50">
        <v>0</v>
      </c>
      <c r="O33" s="48">
        <v>0</v>
      </c>
      <c r="P33" s="58">
        <v>1</v>
      </c>
      <c r="Q33" s="52">
        <v>2.4390000000000001</v>
      </c>
      <c r="R33" s="49">
        <v>23</v>
      </c>
      <c r="S33" s="54">
        <v>56.097999999999999</v>
      </c>
      <c r="T33" s="59">
        <v>0</v>
      </c>
      <c r="U33" s="52">
        <v>0</v>
      </c>
      <c r="V33" s="59">
        <v>0</v>
      </c>
      <c r="W33" s="54">
        <v>0</v>
      </c>
      <c r="X33" s="55">
        <v>2381</v>
      </c>
      <c r="Y33" s="56">
        <v>100</v>
      </c>
    </row>
    <row r="34" spans="1:25" s="22" customFormat="1" ht="15" customHeight="1" x14ac:dyDescent="0.25">
      <c r="A34" s="21" t="s">
        <v>14</v>
      </c>
      <c r="B34" s="23" t="s">
        <v>42</v>
      </c>
      <c r="C34" s="36">
        <v>7</v>
      </c>
      <c r="D34" s="25">
        <v>1</v>
      </c>
      <c r="E34" s="26">
        <v>14.286</v>
      </c>
      <c r="F34" s="27">
        <v>0</v>
      </c>
      <c r="G34" s="26">
        <v>0</v>
      </c>
      <c r="H34" s="33">
        <v>0</v>
      </c>
      <c r="I34" s="26">
        <v>0</v>
      </c>
      <c r="J34" s="27">
        <v>1</v>
      </c>
      <c r="K34" s="26">
        <v>14.286</v>
      </c>
      <c r="L34" s="33">
        <v>2</v>
      </c>
      <c r="M34" s="26">
        <v>28.571000000000002</v>
      </c>
      <c r="N34" s="33">
        <v>0</v>
      </c>
      <c r="O34" s="26">
        <v>0</v>
      </c>
      <c r="P34" s="28">
        <v>3</v>
      </c>
      <c r="Q34" s="29">
        <v>42.857100000000003</v>
      </c>
      <c r="R34" s="27">
        <v>3</v>
      </c>
      <c r="S34" s="30">
        <v>42.856999999999999</v>
      </c>
      <c r="T34" s="34">
        <v>0</v>
      </c>
      <c r="U34" s="29">
        <v>0</v>
      </c>
      <c r="V34" s="34">
        <v>0</v>
      </c>
      <c r="W34" s="30">
        <v>0</v>
      </c>
      <c r="X34" s="31">
        <v>823</v>
      </c>
      <c r="Y34" s="32">
        <v>96.233000000000004</v>
      </c>
    </row>
    <row r="35" spans="1:25" s="22" customFormat="1" ht="15" customHeight="1" x14ac:dyDescent="0.25">
      <c r="A35" s="21" t="s">
        <v>14</v>
      </c>
      <c r="B35" s="57" t="s">
        <v>45</v>
      </c>
      <c r="C35" s="60">
        <v>14</v>
      </c>
      <c r="D35" s="59">
        <v>0</v>
      </c>
      <c r="E35" s="48">
        <v>0</v>
      </c>
      <c r="F35" s="49">
        <v>0</v>
      </c>
      <c r="G35" s="48">
        <v>0</v>
      </c>
      <c r="H35" s="50">
        <v>2</v>
      </c>
      <c r="I35" s="48">
        <v>14.2857</v>
      </c>
      <c r="J35" s="49">
        <v>2</v>
      </c>
      <c r="K35" s="48">
        <v>14.286</v>
      </c>
      <c r="L35" s="50">
        <v>10</v>
      </c>
      <c r="M35" s="48">
        <v>71.429000000000002</v>
      </c>
      <c r="N35" s="49">
        <v>0</v>
      </c>
      <c r="O35" s="48">
        <v>0</v>
      </c>
      <c r="P35" s="58">
        <v>0</v>
      </c>
      <c r="Q35" s="52">
        <v>0</v>
      </c>
      <c r="R35" s="49">
        <v>12</v>
      </c>
      <c r="S35" s="54">
        <v>85.713999999999999</v>
      </c>
      <c r="T35" s="59">
        <v>0</v>
      </c>
      <c r="U35" s="52">
        <v>0</v>
      </c>
      <c r="V35" s="59">
        <v>0</v>
      </c>
      <c r="W35" s="54">
        <v>0</v>
      </c>
      <c r="X35" s="55">
        <v>1055</v>
      </c>
      <c r="Y35" s="56">
        <v>100</v>
      </c>
    </row>
    <row r="36" spans="1:25" s="22" customFormat="1" ht="15" customHeight="1" x14ac:dyDescent="0.25">
      <c r="A36" s="21" t="s">
        <v>14</v>
      </c>
      <c r="B36" s="23" t="s">
        <v>49</v>
      </c>
      <c r="C36" s="36">
        <v>36</v>
      </c>
      <c r="D36" s="34">
        <v>0</v>
      </c>
      <c r="E36" s="26">
        <v>0</v>
      </c>
      <c r="F36" s="27">
        <v>3</v>
      </c>
      <c r="G36" s="26">
        <v>8.3332999999999995</v>
      </c>
      <c r="H36" s="27">
        <v>16</v>
      </c>
      <c r="I36" s="26">
        <v>44.444400000000002</v>
      </c>
      <c r="J36" s="33">
        <v>3</v>
      </c>
      <c r="K36" s="26">
        <v>8.3330000000000002</v>
      </c>
      <c r="L36" s="33">
        <v>12</v>
      </c>
      <c r="M36" s="26">
        <v>33.332999999999998</v>
      </c>
      <c r="N36" s="27">
        <v>0</v>
      </c>
      <c r="O36" s="26">
        <v>0</v>
      </c>
      <c r="P36" s="35">
        <v>2</v>
      </c>
      <c r="Q36" s="29">
        <v>5.5556000000000001</v>
      </c>
      <c r="R36" s="27">
        <v>15</v>
      </c>
      <c r="S36" s="30">
        <v>41.667000000000002</v>
      </c>
      <c r="T36" s="34">
        <v>0</v>
      </c>
      <c r="U36" s="29">
        <v>0</v>
      </c>
      <c r="V36" s="25">
        <v>0</v>
      </c>
      <c r="W36" s="30">
        <v>0</v>
      </c>
      <c r="X36" s="31">
        <v>704</v>
      </c>
      <c r="Y36" s="32">
        <v>100</v>
      </c>
    </row>
    <row r="37" spans="1:25" s="22" customFormat="1" ht="15" customHeight="1" x14ac:dyDescent="0.25">
      <c r="A37" s="21" t="s">
        <v>14</v>
      </c>
      <c r="B37" s="57" t="s">
        <v>46</v>
      </c>
      <c r="C37" s="46">
        <v>3</v>
      </c>
      <c r="D37" s="47">
        <v>0</v>
      </c>
      <c r="E37" s="48">
        <v>0</v>
      </c>
      <c r="F37" s="49">
        <v>0</v>
      </c>
      <c r="G37" s="48">
        <v>0</v>
      </c>
      <c r="H37" s="49">
        <v>0</v>
      </c>
      <c r="I37" s="48">
        <v>0</v>
      </c>
      <c r="J37" s="49">
        <v>1</v>
      </c>
      <c r="K37" s="48">
        <v>33.332999999999998</v>
      </c>
      <c r="L37" s="49">
        <v>2</v>
      </c>
      <c r="M37" s="48">
        <v>66.667000000000002</v>
      </c>
      <c r="N37" s="50">
        <v>0</v>
      </c>
      <c r="O37" s="48">
        <v>0</v>
      </c>
      <c r="P37" s="58">
        <v>0</v>
      </c>
      <c r="Q37" s="52">
        <v>0</v>
      </c>
      <c r="R37" s="49">
        <v>2</v>
      </c>
      <c r="S37" s="54">
        <v>66.667000000000002</v>
      </c>
      <c r="T37" s="59">
        <v>0</v>
      </c>
      <c r="U37" s="52">
        <v>0</v>
      </c>
      <c r="V37" s="47">
        <v>0</v>
      </c>
      <c r="W37" s="54">
        <v>0</v>
      </c>
      <c r="X37" s="55">
        <v>491</v>
      </c>
      <c r="Y37" s="56">
        <v>100</v>
      </c>
    </row>
    <row r="38" spans="1:25" s="22" customFormat="1" ht="15" customHeight="1" x14ac:dyDescent="0.25">
      <c r="A38" s="21" t="s">
        <v>14</v>
      </c>
      <c r="B38" s="23" t="s">
        <v>47</v>
      </c>
      <c r="C38" s="24">
        <v>31</v>
      </c>
      <c r="D38" s="25">
        <v>0</v>
      </c>
      <c r="E38" s="26">
        <v>0</v>
      </c>
      <c r="F38" s="27">
        <v>4</v>
      </c>
      <c r="G38" s="26">
        <v>12.9032</v>
      </c>
      <c r="H38" s="27">
        <v>5</v>
      </c>
      <c r="I38" s="26">
        <v>16.129000000000001</v>
      </c>
      <c r="J38" s="27">
        <v>15</v>
      </c>
      <c r="K38" s="26">
        <v>48.387</v>
      </c>
      <c r="L38" s="27">
        <v>7</v>
      </c>
      <c r="M38" s="26">
        <v>22.581</v>
      </c>
      <c r="N38" s="27">
        <v>0</v>
      </c>
      <c r="O38" s="26">
        <v>0</v>
      </c>
      <c r="P38" s="28">
        <v>0</v>
      </c>
      <c r="Q38" s="29">
        <v>0</v>
      </c>
      <c r="R38" s="27">
        <v>17</v>
      </c>
      <c r="S38" s="30">
        <v>54.838999999999999</v>
      </c>
      <c r="T38" s="34">
        <v>1</v>
      </c>
      <c r="U38" s="29">
        <v>3.2258</v>
      </c>
      <c r="V38" s="25">
        <v>0</v>
      </c>
      <c r="W38" s="30">
        <v>0</v>
      </c>
      <c r="X38" s="31">
        <v>2561</v>
      </c>
      <c r="Y38" s="32">
        <v>100</v>
      </c>
    </row>
    <row r="39" spans="1:25" s="22" customFormat="1" ht="15" customHeight="1" x14ac:dyDescent="0.25">
      <c r="A39" s="21" t="s">
        <v>14</v>
      </c>
      <c r="B39" s="57" t="s">
        <v>48</v>
      </c>
      <c r="C39" s="46">
        <v>1</v>
      </c>
      <c r="D39" s="59">
        <v>1</v>
      </c>
      <c r="E39" s="48">
        <v>100</v>
      </c>
      <c r="F39" s="49">
        <v>0</v>
      </c>
      <c r="G39" s="48">
        <v>0</v>
      </c>
      <c r="H39" s="50">
        <v>0</v>
      </c>
      <c r="I39" s="48">
        <v>0</v>
      </c>
      <c r="J39" s="49">
        <v>0</v>
      </c>
      <c r="K39" s="48">
        <v>0</v>
      </c>
      <c r="L39" s="50">
        <v>0</v>
      </c>
      <c r="M39" s="48">
        <v>0</v>
      </c>
      <c r="N39" s="49">
        <v>0</v>
      </c>
      <c r="O39" s="48">
        <v>0</v>
      </c>
      <c r="P39" s="58">
        <v>0</v>
      </c>
      <c r="Q39" s="52">
        <v>0</v>
      </c>
      <c r="R39" s="49">
        <v>1</v>
      </c>
      <c r="S39" s="54">
        <v>100</v>
      </c>
      <c r="T39" s="47">
        <v>0</v>
      </c>
      <c r="U39" s="52">
        <v>0</v>
      </c>
      <c r="V39" s="47">
        <v>0</v>
      </c>
      <c r="W39" s="54">
        <v>0</v>
      </c>
      <c r="X39" s="55">
        <v>866</v>
      </c>
      <c r="Y39" s="56">
        <v>100</v>
      </c>
    </row>
    <row r="40" spans="1:25" s="22" customFormat="1" ht="15" customHeight="1" x14ac:dyDescent="0.25">
      <c r="A40" s="21" t="s">
        <v>14</v>
      </c>
      <c r="B40" s="23" t="s">
        <v>50</v>
      </c>
      <c r="C40" s="36">
        <v>6</v>
      </c>
      <c r="D40" s="25">
        <v>0</v>
      </c>
      <c r="E40" s="26">
        <v>0</v>
      </c>
      <c r="F40" s="27">
        <v>0</v>
      </c>
      <c r="G40" s="26">
        <v>0</v>
      </c>
      <c r="H40" s="27">
        <v>0</v>
      </c>
      <c r="I40" s="26">
        <v>0</v>
      </c>
      <c r="J40" s="33">
        <v>3</v>
      </c>
      <c r="K40" s="26">
        <v>50</v>
      </c>
      <c r="L40" s="33">
        <v>3</v>
      </c>
      <c r="M40" s="26">
        <v>50</v>
      </c>
      <c r="N40" s="27">
        <v>0</v>
      </c>
      <c r="O40" s="26">
        <v>0</v>
      </c>
      <c r="P40" s="28">
        <v>0</v>
      </c>
      <c r="Q40" s="29">
        <v>0</v>
      </c>
      <c r="R40" s="27">
        <v>3</v>
      </c>
      <c r="S40" s="30">
        <v>50</v>
      </c>
      <c r="T40" s="34">
        <v>1</v>
      </c>
      <c r="U40" s="29">
        <v>16.666699999999999</v>
      </c>
      <c r="V40" s="25">
        <v>0</v>
      </c>
      <c r="W40" s="30">
        <v>0</v>
      </c>
      <c r="X40" s="31">
        <v>4873</v>
      </c>
      <c r="Y40" s="32">
        <v>100</v>
      </c>
    </row>
    <row r="41" spans="1:25" s="22" customFormat="1" ht="15" customHeight="1" x14ac:dyDescent="0.25">
      <c r="A41" s="21" t="s">
        <v>14</v>
      </c>
      <c r="B41" s="57" t="s">
        <v>43</v>
      </c>
      <c r="C41" s="46">
        <v>30</v>
      </c>
      <c r="D41" s="59">
        <v>0</v>
      </c>
      <c r="E41" s="48">
        <v>0</v>
      </c>
      <c r="F41" s="49">
        <v>0</v>
      </c>
      <c r="G41" s="48">
        <v>0</v>
      </c>
      <c r="H41" s="49">
        <v>4</v>
      </c>
      <c r="I41" s="48">
        <v>13.333299999999999</v>
      </c>
      <c r="J41" s="49">
        <v>22</v>
      </c>
      <c r="K41" s="48">
        <v>73.332999999999998</v>
      </c>
      <c r="L41" s="50">
        <v>3</v>
      </c>
      <c r="M41" s="48">
        <v>10</v>
      </c>
      <c r="N41" s="50">
        <v>0</v>
      </c>
      <c r="O41" s="48">
        <v>0</v>
      </c>
      <c r="P41" s="51">
        <v>1</v>
      </c>
      <c r="Q41" s="52">
        <v>3.3332999999999999</v>
      </c>
      <c r="R41" s="49">
        <v>17</v>
      </c>
      <c r="S41" s="54">
        <v>56.667000000000002</v>
      </c>
      <c r="T41" s="47">
        <v>2</v>
      </c>
      <c r="U41" s="52">
        <v>6.6666999999999996</v>
      </c>
      <c r="V41" s="59">
        <v>0</v>
      </c>
      <c r="W41" s="54">
        <v>0</v>
      </c>
      <c r="X41" s="55">
        <v>2661</v>
      </c>
      <c r="Y41" s="56">
        <v>100</v>
      </c>
    </row>
    <row r="42" spans="1:25" s="22" customFormat="1" ht="15" customHeight="1" x14ac:dyDescent="0.25">
      <c r="A42" s="21" t="s">
        <v>14</v>
      </c>
      <c r="B42" s="23" t="s">
        <v>44</v>
      </c>
      <c r="C42" s="36">
        <v>6</v>
      </c>
      <c r="D42" s="25">
        <v>1</v>
      </c>
      <c r="E42" s="26">
        <v>16.667000000000002</v>
      </c>
      <c r="F42" s="27">
        <v>0</v>
      </c>
      <c r="G42" s="26">
        <v>0</v>
      </c>
      <c r="H42" s="27">
        <v>1</v>
      </c>
      <c r="I42" s="26">
        <v>16.666699999999999</v>
      </c>
      <c r="J42" s="33">
        <v>0</v>
      </c>
      <c r="K42" s="26">
        <v>0</v>
      </c>
      <c r="L42" s="33">
        <v>4</v>
      </c>
      <c r="M42" s="26">
        <v>66.667000000000002</v>
      </c>
      <c r="N42" s="33">
        <v>0</v>
      </c>
      <c r="O42" s="26">
        <v>0</v>
      </c>
      <c r="P42" s="28">
        <v>0</v>
      </c>
      <c r="Q42" s="29">
        <v>0</v>
      </c>
      <c r="R42" s="27">
        <v>1</v>
      </c>
      <c r="S42" s="30">
        <v>16.667000000000002</v>
      </c>
      <c r="T42" s="34">
        <v>0</v>
      </c>
      <c r="U42" s="29">
        <v>0</v>
      </c>
      <c r="V42" s="25">
        <v>0</v>
      </c>
      <c r="W42" s="30">
        <v>0</v>
      </c>
      <c r="X42" s="31">
        <v>483</v>
      </c>
      <c r="Y42" s="32">
        <v>100</v>
      </c>
    </row>
    <row r="43" spans="1:25" s="22" customFormat="1" ht="15" customHeight="1" x14ac:dyDescent="0.25">
      <c r="A43" s="21" t="s">
        <v>14</v>
      </c>
      <c r="B43" s="57" t="s">
        <v>51</v>
      </c>
      <c r="C43" s="46">
        <v>32</v>
      </c>
      <c r="D43" s="47">
        <v>0</v>
      </c>
      <c r="E43" s="48">
        <v>0</v>
      </c>
      <c r="F43" s="49">
        <v>0</v>
      </c>
      <c r="G43" s="48">
        <v>0</v>
      </c>
      <c r="H43" s="50">
        <v>0</v>
      </c>
      <c r="I43" s="48">
        <v>0</v>
      </c>
      <c r="J43" s="49">
        <v>15</v>
      </c>
      <c r="K43" s="48">
        <v>46.875</v>
      </c>
      <c r="L43" s="49">
        <v>17</v>
      </c>
      <c r="M43" s="48">
        <v>53.125</v>
      </c>
      <c r="N43" s="49">
        <v>0</v>
      </c>
      <c r="O43" s="48">
        <v>0</v>
      </c>
      <c r="P43" s="51">
        <v>0</v>
      </c>
      <c r="Q43" s="52">
        <v>0</v>
      </c>
      <c r="R43" s="49">
        <v>9</v>
      </c>
      <c r="S43" s="54">
        <v>28.125</v>
      </c>
      <c r="T43" s="59">
        <v>2</v>
      </c>
      <c r="U43" s="52">
        <v>6.25</v>
      </c>
      <c r="V43" s="59">
        <v>0</v>
      </c>
      <c r="W43" s="54">
        <v>0</v>
      </c>
      <c r="X43" s="55">
        <v>3593</v>
      </c>
      <c r="Y43" s="56">
        <v>100</v>
      </c>
    </row>
    <row r="44" spans="1:25" s="22" customFormat="1" ht="15" customHeight="1" x14ac:dyDescent="0.25">
      <c r="A44" s="21" t="s">
        <v>14</v>
      </c>
      <c r="B44" s="23" t="s">
        <v>52</v>
      </c>
      <c r="C44" s="24">
        <v>59</v>
      </c>
      <c r="D44" s="25">
        <v>4</v>
      </c>
      <c r="E44" s="26">
        <v>6.78</v>
      </c>
      <c r="F44" s="33">
        <v>0</v>
      </c>
      <c r="G44" s="26">
        <v>0</v>
      </c>
      <c r="H44" s="27">
        <v>13</v>
      </c>
      <c r="I44" s="26">
        <v>22.033899999999999</v>
      </c>
      <c r="J44" s="27">
        <v>9</v>
      </c>
      <c r="K44" s="26">
        <v>15.254</v>
      </c>
      <c r="L44" s="27">
        <v>23</v>
      </c>
      <c r="M44" s="26">
        <v>38.982999999999997</v>
      </c>
      <c r="N44" s="33">
        <v>1</v>
      </c>
      <c r="O44" s="26">
        <v>1.69492</v>
      </c>
      <c r="P44" s="35">
        <v>9</v>
      </c>
      <c r="Q44" s="29">
        <v>15.254200000000001</v>
      </c>
      <c r="R44" s="27">
        <v>26</v>
      </c>
      <c r="S44" s="30">
        <v>44.067999999999998</v>
      </c>
      <c r="T44" s="34">
        <v>1</v>
      </c>
      <c r="U44" s="29">
        <v>1.6949000000000001</v>
      </c>
      <c r="V44" s="34">
        <v>4</v>
      </c>
      <c r="W44" s="30">
        <v>6.7797000000000001</v>
      </c>
      <c r="X44" s="31">
        <v>1816</v>
      </c>
      <c r="Y44" s="32">
        <v>100</v>
      </c>
    </row>
    <row r="45" spans="1:25" s="22" customFormat="1" ht="15" customHeight="1" x14ac:dyDescent="0.25">
      <c r="A45" s="21" t="s">
        <v>14</v>
      </c>
      <c r="B45" s="57" t="s">
        <v>53</v>
      </c>
      <c r="C45" s="46">
        <v>30</v>
      </c>
      <c r="D45" s="59">
        <v>0</v>
      </c>
      <c r="E45" s="48">
        <v>0</v>
      </c>
      <c r="F45" s="49">
        <v>0</v>
      </c>
      <c r="G45" s="48">
        <v>0</v>
      </c>
      <c r="H45" s="50">
        <v>4</v>
      </c>
      <c r="I45" s="48">
        <v>13.333299999999999</v>
      </c>
      <c r="J45" s="49">
        <v>2</v>
      </c>
      <c r="K45" s="48">
        <v>6.6669999999999998</v>
      </c>
      <c r="L45" s="50">
        <v>22</v>
      </c>
      <c r="M45" s="48">
        <v>73.332999999999998</v>
      </c>
      <c r="N45" s="49">
        <v>0</v>
      </c>
      <c r="O45" s="48">
        <v>0</v>
      </c>
      <c r="P45" s="51">
        <v>2</v>
      </c>
      <c r="Q45" s="52">
        <v>6.6666999999999996</v>
      </c>
      <c r="R45" s="49">
        <v>17</v>
      </c>
      <c r="S45" s="54">
        <v>56.667000000000002</v>
      </c>
      <c r="T45" s="47">
        <v>0</v>
      </c>
      <c r="U45" s="52">
        <v>0</v>
      </c>
      <c r="V45" s="59">
        <v>0</v>
      </c>
      <c r="W45" s="54">
        <v>0</v>
      </c>
      <c r="X45" s="55">
        <v>1289</v>
      </c>
      <c r="Y45" s="56">
        <v>100</v>
      </c>
    </row>
    <row r="46" spans="1:25" s="22" customFormat="1" ht="15" customHeight="1" x14ac:dyDescent="0.25">
      <c r="A46" s="21" t="s">
        <v>14</v>
      </c>
      <c r="B46" s="23" t="s">
        <v>54</v>
      </c>
      <c r="C46" s="24">
        <v>24</v>
      </c>
      <c r="D46" s="25">
        <v>0</v>
      </c>
      <c r="E46" s="26">
        <v>0</v>
      </c>
      <c r="F46" s="27">
        <v>0</v>
      </c>
      <c r="G46" s="26">
        <v>0</v>
      </c>
      <c r="H46" s="27">
        <v>3</v>
      </c>
      <c r="I46" s="26">
        <v>12.5</v>
      </c>
      <c r="J46" s="27">
        <v>8</v>
      </c>
      <c r="K46" s="26">
        <v>33.332999999999998</v>
      </c>
      <c r="L46" s="33">
        <v>12</v>
      </c>
      <c r="M46" s="26">
        <v>50</v>
      </c>
      <c r="N46" s="33">
        <v>0</v>
      </c>
      <c r="O46" s="26">
        <v>0</v>
      </c>
      <c r="P46" s="35">
        <v>1</v>
      </c>
      <c r="Q46" s="29">
        <v>4.1666999999999996</v>
      </c>
      <c r="R46" s="27">
        <v>19</v>
      </c>
      <c r="S46" s="30">
        <v>79.167000000000002</v>
      </c>
      <c r="T46" s="25">
        <v>0</v>
      </c>
      <c r="U46" s="29">
        <v>0</v>
      </c>
      <c r="V46" s="25">
        <v>2</v>
      </c>
      <c r="W46" s="30">
        <v>8.3332999999999995</v>
      </c>
      <c r="X46" s="31">
        <v>3006</v>
      </c>
      <c r="Y46" s="32">
        <v>92.781000000000006</v>
      </c>
    </row>
    <row r="47" spans="1:25" s="22" customFormat="1" ht="15" customHeight="1" x14ac:dyDescent="0.25">
      <c r="A47" s="21" t="s">
        <v>14</v>
      </c>
      <c r="B47" s="57" t="s">
        <v>55</v>
      </c>
      <c r="C47" s="60">
        <v>9</v>
      </c>
      <c r="D47" s="47">
        <v>0</v>
      </c>
      <c r="E47" s="48">
        <v>0</v>
      </c>
      <c r="F47" s="50">
        <v>0</v>
      </c>
      <c r="G47" s="48">
        <v>0</v>
      </c>
      <c r="H47" s="50">
        <v>7</v>
      </c>
      <c r="I47" s="48">
        <v>77.777799999999999</v>
      </c>
      <c r="J47" s="50">
        <v>2</v>
      </c>
      <c r="K47" s="48">
        <v>22.222000000000001</v>
      </c>
      <c r="L47" s="50">
        <v>0</v>
      </c>
      <c r="M47" s="48">
        <v>0</v>
      </c>
      <c r="N47" s="49">
        <v>0</v>
      </c>
      <c r="O47" s="48">
        <v>0</v>
      </c>
      <c r="P47" s="51">
        <v>0</v>
      </c>
      <c r="Q47" s="52">
        <v>0</v>
      </c>
      <c r="R47" s="49">
        <v>2</v>
      </c>
      <c r="S47" s="54">
        <v>22.222000000000001</v>
      </c>
      <c r="T47" s="59">
        <v>0</v>
      </c>
      <c r="U47" s="52">
        <v>0</v>
      </c>
      <c r="V47" s="47">
        <v>3</v>
      </c>
      <c r="W47" s="54">
        <v>33.333300000000001</v>
      </c>
      <c r="X47" s="55">
        <v>312</v>
      </c>
      <c r="Y47" s="56">
        <v>100</v>
      </c>
    </row>
    <row r="48" spans="1:25" s="22" customFormat="1" ht="15" customHeight="1" x14ac:dyDescent="0.25">
      <c r="A48" s="21" t="s">
        <v>14</v>
      </c>
      <c r="B48" s="23" t="s">
        <v>56</v>
      </c>
      <c r="C48" s="24">
        <v>17</v>
      </c>
      <c r="D48" s="34">
        <v>0</v>
      </c>
      <c r="E48" s="26">
        <v>0</v>
      </c>
      <c r="F48" s="27">
        <v>0</v>
      </c>
      <c r="G48" s="26">
        <v>0</v>
      </c>
      <c r="H48" s="33">
        <v>0</v>
      </c>
      <c r="I48" s="26">
        <v>0</v>
      </c>
      <c r="J48" s="27">
        <v>15</v>
      </c>
      <c r="K48" s="26">
        <v>88.234999999999999</v>
      </c>
      <c r="L48" s="27">
        <v>2</v>
      </c>
      <c r="M48" s="26">
        <v>11.765000000000001</v>
      </c>
      <c r="N48" s="33">
        <v>0</v>
      </c>
      <c r="O48" s="26">
        <v>0</v>
      </c>
      <c r="P48" s="35">
        <v>0</v>
      </c>
      <c r="Q48" s="29">
        <v>0</v>
      </c>
      <c r="R48" s="27">
        <v>14</v>
      </c>
      <c r="S48" s="30">
        <v>82.352999999999994</v>
      </c>
      <c r="T48" s="34">
        <v>0</v>
      </c>
      <c r="U48" s="29">
        <v>0</v>
      </c>
      <c r="V48" s="34">
        <v>0</v>
      </c>
      <c r="W48" s="30">
        <v>0</v>
      </c>
      <c r="X48" s="31">
        <v>1243</v>
      </c>
      <c r="Y48" s="32">
        <v>100</v>
      </c>
    </row>
    <row r="49" spans="1:25" s="22" customFormat="1" ht="15" customHeight="1" x14ac:dyDescent="0.25">
      <c r="A49" s="21" t="s">
        <v>14</v>
      </c>
      <c r="B49" s="57" t="s">
        <v>57</v>
      </c>
      <c r="C49" s="60">
        <v>0</v>
      </c>
      <c r="D49" s="47">
        <v>0</v>
      </c>
      <c r="E49" s="48">
        <v>0</v>
      </c>
      <c r="F49" s="49">
        <v>0</v>
      </c>
      <c r="G49" s="48">
        <v>0</v>
      </c>
      <c r="H49" s="49">
        <v>0</v>
      </c>
      <c r="I49" s="48">
        <v>0</v>
      </c>
      <c r="J49" s="49">
        <v>0</v>
      </c>
      <c r="K49" s="48">
        <v>0</v>
      </c>
      <c r="L49" s="50">
        <v>0</v>
      </c>
      <c r="M49" s="48">
        <v>0</v>
      </c>
      <c r="N49" s="50">
        <v>0</v>
      </c>
      <c r="O49" s="48">
        <v>0</v>
      </c>
      <c r="P49" s="51">
        <v>0</v>
      </c>
      <c r="Q49" s="52">
        <v>0</v>
      </c>
      <c r="R49" s="49">
        <v>0</v>
      </c>
      <c r="S49" s="54">
        <v>0</v>
      </c>
      <c r="T49" s="59">
        <v>0</v>
      </c>
      <c r="U49" s="52">
        <v>0</v>
      </c>
      <c r="V49" s="59">
        <v>0</v>
      </c>
      <c r="W49" s="54">
        <v>0</v>
      </c>
      <c r="X49" s="55">
        <v>698</v>
      </c>
      <c r="Y49" s="56">
        <v>100</v>
      </c>
    </row>
    <row r="50" spans="1:25" s="22" customFormat="1" ht="15" customHeight="1" x14ac:dyDescent="0.25">
      <c r="A50" s="21" t="s">
        <v>14</v>
      </c>
      <c r="B50" s="23" t="s">
        <v>58</v>
      </c>
      <c r="C50" s="24">
        <v>27</v>
      </c>
      <c r="D50" s="25">
        <v>0</v>
      </c>
      <c r="E50" s="26">
        <v>0</v>
      </c>
      <c r="F50" s="27">
        <v>0</v>
      </c>
      <c r="G50" s="26">
        <v>0</v>
      </c>
      <c r="H50" s="33">
        <v>1</v>
      </c>
      <c r="I50" s="26">
        <v>3.7037</v>
      </c>
      <c r="J50" s="27">
        <v>10</v>
      </c>
      <c r="K50" s="26">
        <v>37.036999999999999</v>
      </c>
      <c r="L50" s="27">
        <v>16</v>
      </c>
      <c r="M50" s="26">
        <v>59.259</v>
      </c>
      <c r="N50" s="33">
        <v>0</v>
      </c>
      <c r="O50" s="26">
        <v>0</v>
      </c>
      <c r="P50" s="35">
        <v>0</v>
      </c>
      <c r="Q50" s="29">
        <v>0</v>
      </c>
      <c r="R50" s="27">
        <v>13</v>
      </c>
      <c r="S50" s="30">
        <v>48.148000000000003</v>
      </c>
      <c r="T50" s="25">
        <v>3</v>
      </c>
      <c r="U50" s="29">
        <v>11.1111</v>
      </c>
      <c r="V50" s="25">
        <v>0</v>
      </c>
      <c r="W50" s="30">
        <v>0</v>
      </c>
      <c r="X50" s="31">
        <v>1777</v>
      </c>
      <c r="Y50" s="32">
        <v>100</v>
      </c>
    </row>
    <row r="51" spans="1:25" s="22" customFormat="1" ht="15" customHeight="1" x14ac:dyDescent="0.25">
      <c r="A51" s="21" t="s">
        <v>14</v>
      </c>
      <c r="B51" s="57" t="s">
        <v>59</v>
      </c>
      <c r="C51" s="46">
        <v>1177</v>
      </c>
      <c r="D51" s="47">
        <v>3</v>
      </c>
      <c r="E51" s="48">
        <v>0.255</v>
      </c>
      <c r="F51" s="50">
        <v>11</v>
      </c>
      <c r="G51" s="48">
        <v>0.93459999999999999</v>
      </c>
      <c r="H51" s="49">
        <v>617</v>
      </c>
      <c r="I51" s="48">
        <v>52.421399999999998</v>
      </c>
      <c r="J51" s="49">
        <v>302</v>
      </c>
      <c r="K51" s="48">
        <v>25.658000000000001</v>
      </c>
      <c r="L51" s="49">
        <v>219</v>
      </c>
      <c r="M51" s="48">
        <v>18.606999999999999</v>
      </c>
      <c r="N51" s="50">
        <v>2</v>
      </c>
      <c r="O51" s="48">
        <v>0.16991999999999999</v>
      </c>
      <c r="P51" s="51">
        <v>23</v>
      </c>
      <c r="Q51" s="52">
        <v>1.9540999999999999</v>
      </c>
      <c r="R51" s="49">
        <v>388</v>
      </c>
      <c r="S51" s="54">
        <v>32.965000000000003</v>
      </c>
      <c r="T51" s="47">
        <v>88</v>
      </c>
      <c r="U51" s="52">
        <v>7.4766000000000004</v>
      </c>
      <c r="V51" s="47">
        <v>141</v>
      </c>
      <c r="W51" s="54">
        <v>11.9796</v>
      </c>
      <c r="X51" s="55">
        <v>8758</v>
      </c>
      <c r="Y51" s="56">
        <v>100</v>
      </c>
    </row>
    <row r="52" spans="1:25" s="22" customFormat="1" ht="15" customHeight="1" x14ac:dyDescent="0.25">
      <c r="A52" s="21" t="s">
        <v>14</v>
      </c>
      <c r="B52" s="23" t="s">
        <v>60</v>
      </c>
      <c r="C52" s="24">
        <v>15</v>
      </c>
      <c r="D52" s="34">
        <v>0</v>
      </c>
      <c r="E52" s="26">
        <v>0</v>
      </c>
      <c r="F52" s="27">
        <v>0</v>
      </c>
      <c r="G52" s="26">
        <v>0</v>
      </c>
      <c r="H52" s="33">
        <v>0</v>
      </c>
      <c r="I52" s="26">
        <v>0</v>
      </c>
      <c r="J52" s="33">
        <v>0</v>
      </c>
      <c r="K52" s="26">
        <v>0</v>
      </c>
      <c r="L52" s="27">
        <v>13</v>
      </c>
      <c r="M52" s="26">
        <v>86.667000000000002</v>
      </c>
      <c r="N52" s="33">
        <v>0</v>
      </c>
      <c r="O52" s="26">
        <v>0</v>
      </c>
      <c r="P52" s="28">
        <v>2</v>
      </c>
      <c r="Q52" s="29">
        <v>13.333299999999999</v>
      </c>
      <c r="R52" s="27">
        <v>13</v>
      </c>
      <c r="S52" s="30">
        <v>86.667000000000002</v>
      </c>
      <c r="T52" s="25">
        <v>0</v>
      </c>
      <c r="U52" s="29">
        <v>0</v>
      </c>
      <c r="V52" s="25">
        <v>0</v>
      </c>
      <c r="W52" s="30">
        <v>0</v>
      </c>
      <c r="X52" s="31">
        <v>1029</v>
      </c>
      <c r="Y52" s="32">
        <v>100</v>
      </c>
    </row>
    <row r="53" spans="1:25" s="22" customFormat="1" ht="15" customHeight="1" x14ac:dyDescent="0.25">
      <c r="A53" s="21" t="s">
        <v>14</v>
      </c>
      <c r="B53" s="57" t="s">
        <v>61</v>
      </c>
      <c r="C53" s="60">
        <v>3</v>
      </c>
      <c r="D53" s="59">
        <v>0</v>
      </c>
      <c r="E53" s="48">
        <v>0</v>
      </c>
      <c r="F53" s="49">
        <v>0</v>
      </c>
      <c r="G53" s="48">
        <v>0</v>
      </c>
      <c r="H53" s="50">
        <v>0</v>
      </c>
      <c r="I53" s="48">
        <v>0</v>
      </c>
      <c r="J53" s="49">
        <v>0</v>
      </c>
      <c r="K53" s="48">
        <v>0</v>
      </c>
      <c r="L53" s="50">
        <v>3</v>
      </c>
      <c r="M53" s="48">
        <v>100</v>
      </c>
      <c r="N53" s="50">
        <v>0</v>
      </c>
      <c r="O53" s="48">
        <v>0</v>
      </c>
      <c r="P53" s="51">
        <v>0</v>
      </c>
      <c r="Q53" s="52">
        <v>0</v>
      </c>
      <c r="R53" s="49">
        <v>2</v>
      </c>
      <c r="S53" s="54">
        <v>66.667000000000002</v>
      </c>
      <c r="T53" s="59">
        <v>0</v>
      </c>
      <c r="U53" s="52">
        <v>0</v>
      </c>
      <c r="V53" s="47">
        <v>0</v>
      </c>
      <c r="W53" s="54">
        <v>0</v>
      </c>
      <c r="X53" s="55">
        <v>302</v>
      </c>
      <c r="Y53" s="56">
        <v>100</v>
      </c>
    </row>
    <row r="54" spans="1:25" s="22" customFormat="1" ht="15" customHeight="1" x14ac:dyDescent="0.25">
      <c r="A54" s="21" t="s">
        <v>14</v>
      </c>
      <c r="B54" s="23" t="s">
        <v>62</v>
      </c>
      <c r="C54" s="24">
        <v>59</v>
      </c>
      <c r="D54" s="34">
        <v>0</v>
      </c>
      <c r="E54" s="26">
        <v>0</v>
      </c>
      <c r="F54" s="27">
        <v>0</v>
      </c>
      <c r="G54" s="37">
        <v>0</v>
      </c>
      <c r="H54" s="33">
        <v>8</v>
      </c>
      <c r="I54" s="37">
        <v>13.5593</v>
      </c>
      <c r="J54" s="27">
        <v>37</v>
      </c>
      <c r="K54" s="26">
        <v>62.712000000000003</v>
      </c>
      <c r="L54" s="27">
        <v>12</v>
      </c>
      <c r="M54" s="26">
        <v>20.338999999999999</v>
      </c>
      <c r="N54" s="27">
        <v>0</v>
      </c>
      <c r="O54" s="26">
        <v>0</v>
      </c>
      <c r="P54" s="35">
        <v>2</v>
      </c>
      <c r="Q54" s="29">
        <v>3.3898000000000001</v>
      </c>
      <c r="R54" s="27">
        <v>23</v>
      </c>
      <c r="S54" s="30">
        <v>38.982999999999997</v>
      </c>
      <c r="T54" s="25">
        <v>1</v>
      </c>
      <c r="U54" s="29">
        <v>1.6949000000000001</v>
      </c>
      <c r="V54" s="34">
        <v>0</v>
      </c>
      <c r="W54" s="30">
        <v>0</v>
      </c>
      <c r="X54" s="31">
        <v>1982</v>
      </c>
      <c r="Y54" s="32">
        <v>98.385000000000005</v>
      </c>
    </row>
    <row r="55" spans="1:25" s="22" customFormat="1" ht="15" customHeight="1" x14ac:dyDescent="0.25">
      <c r="A55" s="21" t="s">
        <v>14</v>
      </c>
      <c r="B55" s="57" t="s">
        <v>63</v>
      </c>
      <c r="C55" s="46">
        <v>50</v>
      </c>
      <c r="D55" s="47">
        <v>0</v>
      </c>
      <c r="E55" s="48">
        <v>0</v>
      </c>
      <c r="F55" s="49">
        <v>1</v>
      </c>
      <c r="G55" s="48">
        <v>2</v>
      </c>
      <c r="H55" s="50">
        <v>3</v>
      </c>
      <c r="I55" s="48">
        <v>6</v>
      </c>
      <c r="J55" s="50">
        <v>8</v>
      </c>
      <c r="K55" s="48">
        <v>16</v>
      </c>
      <c r="L55" s="49">
        <v>29</v>
      </c>
      <c r="M55" s="48">
        <v>58</v>
      </c>
      <c r="N55" s="49">
        <v>0</v>
      </c>
      <c r="O55" s="48">
        <v>0</v>
      </c>
      <c r="P55" s="58">
        <v>9</v>
      </c>
      <c r="Q55" s="52">
        <v>18</v>
      </c>
      <c r="R55" s="49">
        <v>37</v>
      </c>
      <c r="S55" s="54">
        <v>74</v>
      </c>
      <c r="T55" s="47">
        <v>1</v>
      </c>
      <c r="U55" s="52">
        <v>2</v>
      </c>
      <c r="V55" s="59">
        <v>5</v>
      </c>
      <c r="W55" s="54">
        <v>10</v>
      </c>
      <c r="X55" s="55">
        <v>2339</v>
      </c>
      <c r="Y55" s="56">
        <v>100</v>
      </c>
    </row>
    <row r="56" spans="1:25" s="22" customFormat="1" ht="15" customHeight="1" x14ac:dyDescent="0.25">
      <c r="A56" s="21" t="s">
        <v>14</v>
      </c>
      <c r="B56" s="23" t="s">
        <v>64</v>
      </c>
      <c r="C56" s="24">
        <v>6</v>
      </c>
      <c r="D56" s="25">
        <v>0</v>
      </c>
      <c r="E56" s="26">
        <v>0</v>
      </c>
      <c r="F56" s="27">
        <v>0</v>
      </c>
      <c r="G56" s="26">
        <v>0</v>
      </c>
      <c r="H56" s="27">
        <v>0</v>
      </c>
      <c r="I56" s="26">
        <v>0</v>
      </c>
      <c r="J56" s="33">
        <v>1</v>
      </c>
      <c r="K56" s="26">
        <v>16.667000000000002</v>
      </c>
      <c r="L56" s="27">
        <v>5</v>
      </c>
      <c r="M56" s="26">
        <v>83.332999999999998</v>
      </c>
      <c r="N56" s="33">
        <v>0</v>
      </c>
      <c r="O56" s="26">
        <v>0</v>
      </c>
      <c r="P56" s="28">
        <v>0</v>
      </c>
      <c r="Q56" s="29">
        <v>0</v>
      </c>
      <c r="R56" s="27">
        <v>2</v>
      </c>
      <c r="S56" s="30">
        <v>33.332999999999998</v>
      </c>
      <c r="T56" s="34">
        <v>0</v>
      </c>
      <c r="U56" s="29">
        <v>0</v>
      </c>
      <c r="V56" s="34">
        <v>0</v>
      </c>
      <c r="W56" s="30">
        <v>0</v>
      </c>
      <c r="X56" s="31">
        <v>691</v>
      </c>
      <c r="Y56" s="32">
        <v>100</v>
      </c>
    </row>
    <row r="57" spans="1:25" s="22" customFormat="1" ht="15" customHeight="1" x14ac:dyDescent="0.25">
      <c r="A57" s="21" t="s">
        <v>14</v>
      </c>
      <c r="B57" s="57" t="s">
        <v>65</v>
      </c>
      <c r="C57" s="46">
        <v>42</v>
      </c>
      <c r="D57" s="47">
        <v>2</v>
      </c>
      <c r="E57" s="48">
        <v>4.7619999999999996</v>
      </c>
      <c r="F57" s="50">
        <v>0</v>
      </c>
      <c r="G57" s="48">
        <v>0</v>
      </c>
      <c r="H57" s="49">
        <v>8</v>
      </c>
      <c r="I57" s="48">
        <v>19.047599999999999</v>
      </c>
      <c r="J57" s="49">
        <v>19</v>
      </c>
      <c r="K57" s="48">
        <v>45.238</v>
      </c>
      <c r="L57" s="49">
        <v>11</v>
      </c>
      <c r="M57" s="48">
        <v>26.19</v>
      </c>
      <c r="N57" s="49">
        <v>0</v>
      </c>
      <c r="O57" s="48">
        <v>0</v>
      </c>
      <c r="P57" s="58">
        <v>2</v>
      </c>
      <c r="Q57" s="52">
        <v>4.7618999999999998</v>
      </c>
      <c r="R57" s="49">
        <v>28</v>
      </c>
      <c r="S57" s="54">
        <v>66.667000000000002</v>
      </c>
      <c r="T57" s="59">
        <v>0</v>
      </c>
      <c r="U57" s="52">
        <v>0</v>
      </c>
      <c r="V57" s="59">
        <v>2</v>
      </c>
      <c r="W57" s="54">
        <v>4.7618999999999998</v>
      </c>
      <c r="X57" s="55">
        <v>2235</v>
      </c>
      <c r="Y57" s="56">
        <v>99.954999999999998</v>
      </c>
    </row>
    <row r="58" spans="1:25" s="22" customFormat="1" ht="15" customHeight="1" x14ac:dyDescent="0.25">
      <c r="A58" s="21" t="s">
        <v>14</v>
      </c>
      <c r="B58" s="23" t="s">
        <v>66</v>
      </c>
      <c r="C58" s="36">
        <v>1</v>
      </c>
      <c r="D58" s="34">
        <v>0</v>
      </c>
      <c r="E58" s="26">
        <v>0</v>
      </c>
      <c r="F58" s="27">
        <v>0</v>
      </c>
      <c r="G58" s="26">
        <v>0</v>
      </c>
      <c r="H58" s="33">
        <v>0</v>
      </c>
      <c r="I58" s="26">
        <v>0</v>
      </c>
      <c r="J58" s="27">
        <v>0</v>
      </c>
      <c r="K58" s="26">
        <v>0</v>
      </c>
      <c r="L58" s="27">
        <v>1</v>
      </c>
      <c r="M58" s="26">
        <v>100</v>
      </c>
      <c r="N58" s="27">
        <v>0</v>
      </c>
      <c r="O58" s="26">
        <v>0</v>
      </c>
      <c r="P58" s="35">
        <v>0</v>
      </c>
      <c r="Q58" s="29">
        <v>0</v>
      </c>
      <c r="R58" s="27">
        <v>0</v>
      </c>
      <c r="S58" s="30">
        <v>0</v>
      </c>
      <c r="T58" s="25">
        <v>0</v>
      </c>
      <c r="U58" s="29">
        <v>0</v>
      </c>
      <c r="V58" s="25">
        <v>0</v>
      </c>
      <c r="W58" s="30">
        <v>0</v>
      </c>
      <c r="X58" s="31">
        <v>366</v>
      </c>
      <c r="Y58" s="32">
        <v>100</v>
      </c>
    </row>
    <row r="59" spans="1:25" s="22" customFormat="1" ht="15" customHeight="1" thickBot="1" x14ac:dyDescent="0.3">
      <c r="A59" s="21" t="s">
        <v>14</v>
      </c>
      <c r="B59" s="66" t="s">
        <v>70</v>
      </c>
      <c r="C59" s="67">
        <v>0</v>
      </c>
      <c r="D59" s="68">
        <v>0</v>
      </c>
      <c r="E59" s="69">
        <v>0</v>
      </c>
      <c r="F59" s="70">
        <v>0</v>
      </c>
      <c r="G59" s="69">
        <v>0</v>
      </c>
      <c r="H59" s="71">
        <v>0</v>
      </c>
      <c r="I59" s="69">
        <v>0</v>
      </c>
      <c r="J59" s="70">
        <v>0</v>
      </c>
      <c r="K59" s="69">
        <v>0</v>
      </c>
      <c r="L59" s="70">
        <v>0</v>
      </c>
      <c r="M59" s="69">
        <v>0</v>
      </c>
      <c r="N59" s="70">
        <v>0</v>
      </c>
      <c r="O59" s="69">
        <v>0</v>
      </c>
      <c r="P59" s="72">
        <v>0</v>
      </c>
      <c r="Q59" s="73">
        <v>0</v>
      </c>
      <c r="R59" s="70">
        <v>0</v>
      </c>
      <c r="S59" s="74">
        <v>0</v>
      </c>
      <c r="T59" s="75">
        <v>0</v>
      </c>
      <c r="U59" s="73">
        <v>0</v>
      </c>
      <c r="V59" s="75">
        <v>0</v>
      </c>
      <c r="W59" s="74">
        <v>0</v>
      </c>
      <c r="X59" s="76">
        <v>1099</v>
      </c>
      <c r="Y59" s="77">
        <v>100</v>
      </c>
    </row>
    <row r="60" spans="1:25" s="22" customFormat="1" ht="15" customHeight="1" x14ac:dyDescent="0.25">
      <c r="A60" s="21"/>
      <c r="B60" s="23"/>
      <c r="C60" s="33"/>
      <c r="D60" s="33"/>
      <c r="E60" s="30"/>
      <c r="F60" s="27"/>
      <c r="G60" s="30"/>
      <c r="H60" s="33"/>
      <c r="I60" s="30"/>
      <c r="J60" s="27"/>
      <c r="K60" s="30"/>
      <c r="L60" s="27"/>
      <c r="M60" s="30"/>
      <c r="N60" s="27"/>
      <c r="O60" s="30"/>
      <c r="P60" s="33"/>
      <c r="Q60" s="30"/>
      <c r="R60" s="30"/>
      <c r="S60" s="30"/>
      <c r="T60" s="27"/>
      <c r="U60" s="30"/>
      <c r="V60" s="27"/>
      <c r="W60" s="30"/>
      <c r="X60" s="63"/>
      <c r="Y60" s="64"/>
    </row>
    <row r="61" spans="1:25" s="39" customFormat="1" ht="14.15" customHeight="1" x14ac:dyDescent="0.25">
      <c r="B61" s="42" t="s">
        <v>75</v>
      </c>
      <c r="C61" s="62"/>
      <c r="D61" s="62"/>
      <c r="E61" s="62"/>
      <c r="F61" s="62"/>
      <c r="G61" s="62"/>
      <c r="H61" s="62"/>
      <c r="I61" s="62"/>
      <c r="J61" s="62"/>
      <c r="K61" s="62"/>
      <c r="L61" s="62"/>
      <c r="M61" s="62"/>
      <c r="N61" s="62"/>
      <c r="O61" s="62"/>
      <c r="P61" s="62"/>
      <c r="Q61" s="62"/>
      <c r="R61" s="62"/>
      <c r="S61" s="62"/>
      <c r="T61" s="62"/>
      <c r="U61" s="62"/>
      <c r="V61" s="62"/>
      <c r="W61" s="62"/>
      <c r="X61" s="62"/>
      <c r="Y61" s="62"/>
    </row>
    <row r="62" spans="1:25" s="39" customFormat="1" ht="15" customHeight="1" x14ac:dyDescent="0.25">
      <c r="A62" s="41"/>
      <c r="B62" s="42" t="str">
        <f>CONCATENATE("NOTE: Table reads (for 50 states, District of Columbia, and Puerto Rico totals):  Of all ",IF(ISTEXT(C7),LEFT(C7,3),TEXT(C7,"#,##0"))," public school male students ", A7, ", ", IF(ISTEXT(R7),LEFT(R7,3),TEXT(R7,"#,##0"))," (", TEXT(S7,"0.0"),"%) were students with disabilities served under the Individuals with Disabilities Education Act (IDEA), and ",IF(ISTEXT(T7),LEFT(T7,3),TEXT(T7,"#,##0"))," (",TEXT(U7,"0.0"),"%) were students with disabilities served only under Section 504.")</f>
        <v>NOTE: Table reads (for 50 states, District of Columbia, and Puerto Rico totals):  Of all 2,683 public school male students subjected to mechanical restraint, 1,213 (45.2%) were students with disabilities served under the Individuals with Disabilities Education Act (IDEA), and 115 (4.3%) were students with disabilities served only under Section 504.</v>
      </c>
      <c r="C62" s="38"/>
      <c r="D62" s="38"/>
      <c r="E62" s="38"/>
      <c r="F62" s="38"/>
      <c r="G62" s="38"/>
      <c r="H62" s="38"/>
      <c r="I62" s="38"/>
      <c r="J62" s="38"/>
      <c r="K62" s="38"/>
      <c r="L62" s="38"/>
      <c r="M62" s="38"/>
      <c r="N62" s="38"/>
      <c r="O62" s="38"/>
      <c r="P62" s="38"/>
      <c r="Q62" s="38"/>
      <c r="R62" s="38"/>
      <c r="S62" s="38"/>
      <c r="T62" s="38"/>
      <c r="U62" s="38"/>
      <c r="V62" s="43"/>
      <c r="W62" s="44"/>
      <c r="X62" s="38"/>
      <c r="Y62" s="38"/>
    </row>
    <row r="63" spans="1:25" s="39" customFormat="1" ht="15" customHeight="1" x14ac:dyDescent="0.25">
      <c r="A63" s="41"/>
      <c r="B63" s="42" t="str">
        <f>CONCATENATE("            Table reads (for 50 states, District of Columbia, and Puerto Rico Race/Ethnicity):  Of all ",TEXT(C7,"#,##0")," public school male students ",(A7), ", ",TEXT(D7,"#,##0")," (",TEXT(E7,"0.0"),"%) were American Indian or Alaska Native.")</f>
        <v xml:space="preserve">            Table reads (for 50 states, District of Columbia, and Puerto Rico Race/Ethnicity):  Of all 2,683 public school male students subjected to mechanical restraint, 21 (0.8%) were American Indian or Alaska Native.</v>
      </c>
      <c r="C63" s="38"/>
      <c r="D63" s="38"/>
      <c r="E63" s="38"/>
      <c r="F63" s="38"/>
      <c r="G63" s="38"/>
      <c r="H63" s="38"/>
      <c r="I63" s="38"/>
      <c r="J63" s="38"/>
      <c r="K63" s="38"/>
      <c r="L63" s="38"/>
      <c r="M63" s="38"/>
      <c r="N63" s="38"/>
      <c r="O63" s="38"/>
      <c r="P63" s="38"/>
      <c r="Q63" s="38"/>
      <c r="R63" s="38"/>
      <c r="S63" s="38"/>
      <c r="T63" s="38"/>
      <c r="U63" s="38"/>
      <c r="V63" s="43"/>
      <c r="W63" s="44"/>
      <c r="X63" s="38"/>
      <c r="Y63" s="38"/>
    </row>
    <row r="64" spans="1:25" s="39" customFormat="1" ht="15" customHeight="1" x14ac:dyDescent="0.25">
      <c r="A64" s="41"/>
      <c r="B64" s="62" t="s">
        <v>72</v>
      </c>
      <c r="C64" s="38"/>
      <c r="D64" s="38"/>
      <c r="E64" s="38"/>
      <c r="F64" s="38"/>
      <c r="G64" s="38"/>
      <c r="H64" s="38"/>
      <c r="I64" s="38"/>
      <c r="J64" s="38"/>
      <c r="K64" s="38"/>
      <c r="L64" s="38"/>
      <c r="M64" s="38"/>
      <c r="N64" s="38"/>
      <c r="O64" s="38"/>
      <c r="P64" s="38"/>
      <c r="Q64" s="38"/>
      <c r="R64" s="38"/>
      <c r="S64" s="38"/>
      <c r="T64" s="38"/>
      <c r="U64" s="38"/>
      <c r="V64" s="43"/>
      <c r="W64" s="44"/>
      <c r="X64" s="38"/>
      <c r="Y64" s="38"/>
    </row>
    <row r="65" spans="1:25" s="39" customFormat="1" ht="15" customHeight="1" x14ac:dyDescent="0.3">
      <c r="A65" s="41"/>
      <c r="B65" s="62" t="s">
        <v>71</v>
      </c>
      <c r="C65" s="1"/>
      <c r="D65" s="1"/>
      <c r="E65" s="1"/>
      <c r="F65" s="1"/>
      <c r="G65" s="1"/>
      <c r="H65" s="1"/>
      <c r="I65" s="1"/>
      <c r="J65" s="1"/>
      <c r="K65" s="1"/>
      <c r="L65" s="1"/>
      <c r="M65" s="1"/>
      <c r="N65" s="1"/>
      <c r="O65" s="1"/>
      <c r="P65" s="1"/>
      <c r="Q65" s="1"/>
      <c r="R65" s="1"/>
      <c r="S65" s="1"/>
      <c r="T65" s="1"/>
      <c r="U65" s="1"/>
      <c r="V65" s="5"/>
      <c r="W65" s="6"/>
      <c r="X65" s="1"/>
      <c r="Y65" s="1"/>
    </row>
    <row r="66" spans="1:25" ht="15" customHeight="1" x14ac:dyDescent="0.3">
      <c r="B66" s="38"/>
    </row>
    <row r="67" spans="1:25" ht="15" customHeight="1" x14ac:dyDescent="0.3">
      <c r="B67" s="38"/>
    </row>
  </sheetData>
  <sortState xmlns:xlrd2="http://schemas.microsoft.com/office/spreadsheetml/2017/richdata2" ref="A8:Y59">
    <sortCondition ref="B8:B59"/>
  </sortState>
  <mergeCells count="15">
    <mergeCell ref="Y4:Y5"/>
    <mergeCell ref="N5:O5"/>
    <mergeCell ref="P5:Q5"/>
    <mergeCell ref="D4:Q4"/>
    <mergeCell ref="D5:E5"/>
    <mergeCell ref="F5:G5"/>
    <mergeCell ref="H5:I5"/>
    <mergeCell ref="J5:K5"/>
    <mergeCell ref="L5:M5"/>
    <mergeCell ref="B4:B5"/>
    <mergeCell ref="T4:U5"/>
    <mergeCell ref="V4:W5"/>
    <mergeCell ref="R4:S5"/>
    <mergeCell ref="X4:X5"/>
    <mergeCell ref="C4:C5"/>
  </mergeCells>
  <phoneticPr fontId="20" type="noConversion"/>
  <printOptions horizontalCentered="1"/>
  <pageMargins left="0.25" right="0.25" top="1" bottom="1" header="0.5" footer="0.5"/>
  <pageSetup paperSize="3" scale="70" orientation="landscape" horizontalDpi="4294967292" verticalDpi="4294967292" r:id="rId1"/>
  <extLst>
    <ext xmlns:mx="http://schemas.microsoft.com/office/mac/excel/2008/main" uri="{64002731-A6B0-56B0-2670-7721B7C09600}">
      <mx:PLV Mode="0" OnePage="0" WScale="4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2:Y67"/>
  <sheetViews>
    <sheetView showGridLines="0" topLeftCell="A37" zoomScale="70" zoomScaleNormal="70" zoomScaleSheetLayoutView="40" workbookViewId="0">
      <selection activeCell="C67" sqref="C67"/>
    </sheetView>
  </sheetViews>
  <sheetFormatPr defaultColWidth="12.109375" defaultRowHeight="15" customHeight="1" x14ac:dyDescent="0.3"/>
  <cols>
    <col min="1" max="1" width="16" style="10" customWidth="1"/>
    <col min="2" max="2" width="62.44140625" style="1" customWidth="1"/>
    <col min="3" max="21" width="14.77734375" style="1" customWidth="1"/>
    <col min="22" max="22" width="14.77734375" style="5" customWidth="1"/>
    <col min="23" max="23" width="14.77734375" style="6" customWidth="1"/>
    <col min="24" max="25" width="14.77734375" style="1" customWidth="1"/>
    <col min="26" max="26" width="2.109375" style="7" customWidth="1"/>
    <col min="27" max="16384" width="12.109375" style="7"/>
  </cols>
  <sheetData>
    <row r="2" spans="1:25" s="2" customFormat="1" ht="15" customHeight="1" x14ac:dyDescent="0.4">
      <c r="A2" s="9"/>
      <c r="B2" s="45" t="str">
        <f>CONCATENATE("Number and percentage of public school female students ",A7, ", by race/ethnicity, disability status, and English proficiency, by state: School Year 2017-18")</f>
        <v>Number and percentage of public school female students subjected to mechanical restraint, by race/ethnicity, disability status, and English proficiency, by state: School Year 2017-18</v>
      </c>
      <c r="C2" s="45"/>
      <c r="D2" s="45"/>
      <c r="E2" s="45"/>
      <c r="F2" s="45"/>
      <c r="G2" s="45"/>
      <c r="H2" s="45"/>
      <c r="I2" s="45"/>
      <c r="J2" s="45"/>
      <c r="K2" s="45"/>
      <c r="L2" s="45"/>
      <c r="M2" s="45"/>
      <c r="N2" s="45"/>
      <c r="O2" s="45"/>
      <c r="P2" s="45"/>
      <c r="Q2" s="45"/>
      <c r="R2" s="45"/>
      <c r="S2" s="45"/>
      <c r="T2" s="45"/>
      <c r="U2" s="45"/>
      <c r="V2" s="45"/>
      <c r="W2" s="45"/>
    </row>
    <row r="3" spans="1:25" s="1" customFormat="1" ht="15" customHeight="1" thickBot="1" x14ac:dyDescent="0.35">
      <c r="A3" s="8"/>
      <c r="B3" s="3"/>
      <c r="C3" s="4"/>
      <c r="D3" s="4"/>
      <c r="E3" s="4"/>
      <c r="F3" s="4"/>
      <c r="G3" s="4"/>
      <c r="H3" s="4"/>
      <c r="I3" s="4"/>
      <c r="J3" s="4"/>
      <c r="K3" s="4"/>
      <c r="L3" s="4"/>
      <c r="M3" s="4"/>
      <c r="N3" s="4"/>
      <c r="O3" s="4"/>
      <c r="P3" s="4"/>
      <c r="Q3" s="4"/>
      <c r="R3" s="4"/>
      <c r="S3" s="4"/>
      <c r="T3" s="4"/>
      <c r="U3" s="4"/>
      <c r="V3" s="4"/>
      <c r="W3" s="5"/>
      <c r="X3" s="4"/>
      <c r="Y3" s="4"/>
    </row>
    <row r="4" spans="1:25" s="12" customFormat="1" ht="25" customHeight="1" x14ac:dyDescent="0.25">
      <c r="A4" s="11"/>
      <c r="B4" s="78" t="s">
        <v>0</v>
      </c>
      <c r="C4" s="80" t="s">
        <v>9</v>
      </c>
      <c r="D4" s="82" t="s">
        <v>73</v>
      </c>
      <c r="E4" s="83"/>
      <c r="F4" s="83"/>
      <c r="G4" s="83"/>
      <c r="H4" s="83"/>
      <c r="I4" s="83"/>
      <c r="J4" s="83"/>
      <c r="K4" s="83"/>
      <c r="L4" s="83"/>
      <c r="M4" s="83"/>
      <c r="N4" s="83"/>
      <c r="O4" s="83"/>
      <c r="P4" s="83"/>
      <c r="Q4" s="84"/>
      <c r="R4" s="85" t="s">
        <v>67</v>
      </c>
      <c r="S4" s="86"/>
      <c r="T4" s="85" t="s">
        <v>15</v>
      </c>
      <c r="U4" s="86"/>
      <c r="V4" s="85" t="s">
        <v>10</v>
      </c>
      <c r="W4" s="86"/>
      <c r="X4" s="89" t="s">
        <v>13</v>
      </c>
      <c r="Y4" s="91" t="s">
        <v>11</v>
      </c>
    </row>
    <row r="5" spans="1:25" s="12" customFormat="1" ht="25" customHeight="1" x14ac:dyDescent="0.3">
      <c r="A5" s="11"/>
      <c r="B5" s="79"/>
      <c r="C5" s="81"/>
      <c r="D5" s="93" t="s">
        <v>1</v>
      </c>
      <c r="E5" s="94"/>
      <c r="F5" s="95" t="s">
        <v>2</v>
      </c>
      <c r="G5" s="94"/>
      <c r="H5" s="96" t="s">
        <v>3</v>
      </c>
      <c r="I5" s="94"/>
      <c r="J5" s="96" t="s">
        <v>4</v>
      </c>
      <c r="K5" s="94"/>
      <c r="L5" s="96" t="s">
        <v>5</v>
      </c>
      <c r="M5" s="94"/>
      <c r="N5" s="96" t="s">
        <v>6</v>
      </c>
      <c r="O5" s="94"/>
      <c r="P5" s="96" t="s">
        <v>7</v>
      </c>
      <c r="Q5" s="97"/>
      <c r="R5" s="87"/>
      <c r="S5" s="88"/>
      <c r="T5" s="87"/>
      <c r="U5" s="88"/>
      <c r="V5" s="87"/>
      <c r="W5" s="88"/>
      <c r="X5" s="90"/>
      <c r="Y5" s="92"/>
    </row>
    <row r="6" spans="1:25" s="12" customFormat="1" ht="15" customHeight="1" thickBot="1" x14ac:dyDescent="0.35">
      <c r="A6" s="11"/>
      <c r="B6" s="13"/>
      <c r="C6" s="40"/>
      <c r="D6" s="14" t="s">
        <v>8</v>
      </c>
      <c r="E6" s="15" t="s">
        <v>12</v>
      </c>
      <c r="F6" s="16" t="s">
        <v>8</v>
      </c>
      <c r="G6" s="15" t="s">
        <v>12</v>
      </c>
      <c r="H6" s="16" t="s">
        <v>8</v>
      </c>
      <c r="I6" s="15" t="s">
        <v>12</v>
      </c>
      <c r="J6" s="16" t="s">
        <v>8</v>
      </c>
      <c r="K6" s="15" t="s">
        <v>12</v>
      </c>
      <c r="L6" s="16" t="s">
        <v>8</v>
      </c>
      <c r="M6" s="15" t="s">
        <v>12</v>
      </c>
      <c r="N6" s="16" t="s">
        <v>8</v>
      </c>
      <c r="O6" s="15" t="s">
        <v>12</v>
      </c>
      <c r="P6" s="16" t="s">
        <v>8</v>
      </c>
      <c r="Q6" s="17" t="s">
        <v>12</v>
      </c>
      <c r="R6" s="61" t="s">
        <v>8</v>
      </c>
      <c r="S6" s="18" t="s">
        <v>74</v>
      </c>
      <c r="T6" s="14" t="s">
        <v>8</v>
      </c>
      <c r="U6" s="18" t="s">
        <v>74</v>
      </c>
      <c r="V6" s="16" t="s">
        <v>8</v>
      </c>
      <c r="W6" s="18" t="s">
        <v>74</v>
      </c>
      <c r="X6" s="19"/>
      <c r="Y6" s="20"/>
    </row>
    <row r="7" spans="1:25" s="22" customFormat="1" ht="15" customHeight="1" x14ac:dyDescent="0.25">
      <c r="A7" s="21" t="str">
        <f>Total!A7</f>
        <v>subjected to mechanical restraint</v>
      </c>
      <c r="B7" s="65" t="s">
        <v>69</v>
      </c>
      <c r="C7" s="46">
        <v>926</v>
      </c>
      <c r="D7" s="47">
        <v>12</v>
      </c>
      <c r="E7" s="48">
        <v>1.2959000000000001</v>
      </c>
      <c r="F7" s="49">
        <v>7</v>
      </c>
      <c r="G7" s="48">
        <v>0.75590000000000002</v>
      </c>
      <c r="H7" s="49">
        <v>328</v>
      </c>
      <c r="I7" s="48">
        <v>35.421199999999999</v>
      </c>
      <c r="J7" s="49">
        <v>345</v>
      </c>
      <c r="K7" s="48">
        <v>37.256999999999998</v>
      </c>
      <c r="L7" s="49">
        <v>212</v>
      </c>
      <c r="M7" s="48">
        <v>22.893999999999998</v>
      </c>
      <c r="N7" s="50">
        <v>2</v>
      </c>
      <c r="O7" s="48">
        <v>0.21598000000000001</v>
      </c>
      <c r="P7" s="51">
        <v>20</v>
      </c>
      <c r="Q7" s="52">
        <v>2.1598000000000002</v>
      </c>
      <c r="R7" s="49">
        <v>276</v>
      </c>
      <c r="S7" s="54">
        <v>29.806000000000001</v>
      </c>
      <c r="T7" s="53">
        <v>37</v>
      </c>
      <c r="U7" s="52">
        <v>3.9956999999999998</v>
      </c>
      <c r="V7" s="53">
        <v>81</v>
      </c>
      <c r="W7" s="54">
        <v>8.7472999999999992</v>
      </c>
      <c r="X7" s="55">
        <v>97632</v>
      </c>
      <c r="Y7" s="56">
        <v>99.701999999999998</v>
      </c>
    </row>
    <row r="8" spans="1:25" s="22" customFormat="1" ht="15" customHeight="1" x14ac:dyDescent="0.25">
      <c r="A8" s="21" t="s">
        <v>14</v>
      </c>
      <c r="B8" s="23" t="s">
        <v>17</v>
      </c>
      <c r="C8" s="24">
        <v>11</v>
      </c>
      <c r="D8" s="25">
        <v>0</v>
      </c>
      <c r="E8" s="26">
        <v>0</v>
      </c>
      <c r="F8" s="27">
        <v>0</v>
      </c>
      <c r="G8" s="26">
        <v>0</v>
      </c>
      <c r="H8" s="33">
        <v>1</v>
      </c>
      <c r="I8" s="26">
        <v>9.0908999999999995</v>
      </c>
      <c r="J8" s="27">
        <v>9</v>
      </c>
      <c r="K8" s="26">
        <v>81.817999999999998</v>
      </c>
      <c r="L8" s="27">
        <v>1</v>
      </c>
      <c r="M8" s="26">
        <v>9.0909999999999993</v>
      </c>
      <c r="N8" s="27">
        <v>0</v>
      </c>
      <c r="O8" s="26">
        <v>0</v>
      </c>
      <c r="P8" s="35">
        <v>0</v>
      </c>
      <c r="Q8" s="29">
        <v>0</v>
      </c>
      <c r="R8" s="27">
        <v>7</v>
      </c>
      <c r="S8" s="30">
        <v>63.636000000000003</v>
      </c>
      <c r="T8" s="25">
        <v>0</v>
      </c>
      <c r="U8" s="29">
        <v>0</v>
      </c>
      <c r="V8" s="34">
        <v>0</v>
      </c>
      <c r="W8" s="30">
        <v>0</v>
      </c>
      <c r="X8" s="31">
        <v>1390</v>
      </c>
      <c r="Y8" s="32">
        <v>100</v>
      </c>
    </row>
    <row r="9" spans="1:25" s="22" customFormat="1" ht="15" customHeight="1" x14ac:dyDescent="0.25">
      <c r="A9" s="21" t="s">
        <v>14</v>
      </c>
      <c r="B9" s="57" t="s">
        <v>16</v>
      </c>
      <c r="C9" s="46">
        <v>0</v>
      </c>
      <c r="D9" s="47">
        <v>0</v>
      </c>
      <c r="E9" s="48">
        <v>0</v>
      </c>
      <c r="F9" s="49">
        <v>0</v>
      </c>
      <c r="G9" s="48">
        <v>0</v>
      </c>
      <c r="H9" s="49">
        <v>0</v>
      </c>
      <c r="I9" s="48">
        <v>0</v>
      </c>
      <c r="J9" s="50">
        <v>0</v>
      </c>
      <c r="K9" s="48">
        <v>0</v>
      </c>
      <c r="L9" s="50">
        <v>0</v>
      </c>
      <c r="M9" s="48">
        <v>0</v>
      </c>
      <c r="N9" s="49">
        <v>0</v>
      </c>
      <c r="O9" s="48">
        <v>0</v>
      </c>
      <c r="P9" s="58">
        <v>0</v>
      </c>
      <c r="Q9" s="52">
        <v>0</v>
      </c>
      <c r="R9" s="49">
        <v>0</v>
      </c>
      <c r="S9" s="54">
        <v>0</v>
      </c>
      <c r="T9" s="59">
        <v>0</v>
      </c>
      <c r="U9" s="52">
        <v>0</v>
      </c>
      <c r="V9" s="59">
        <v>0</v>
      </c>
      <c r="W9" s="54">
        <v>0</v>
      </c>
      <c r="X9" s="55">
        <v>506</v>
      </c>
      <c r="Y9" s="56">
        <v>100</v>
      </c>
    </row>
    <row r="10" spans="1:25" s="22" customFormat="1" ht="15" customHeight="1" x14ac:dyDescent="0.25">
      <c r="A10" s="21" t="s">
        <v>14</v>
      </c>
      <c r="B10" s="23" t="s">
        <v>19</v>
      </c>
      <c r="C10" s="24">
        <v>6</v>
      </c>
      <c r="D10" s="34">
        <v>3</v>
      </c>
      <c r="E10" s="26">
        <v>50</v>
      </c>
      <c r="F10" s="27">
        <v>0</v>
      </c>
      <c r="G10" s="26">
        <v>0</v>
      </c>
      <c r="H10" s="33">
        <v>0</v>
      </c>
      <c r="I10" s="26">
        <v>0</v>
      </c>
      <c r="J10" s="27">
        <v>0</v>
      </c>
      <c r="K10" s="26">
        <v>0</v>
      </c>
      <c r="L10" s="33">
        <v>3</v>
      </c>
      <c r="M10" s="26">
        <v>50</v>
      </c>
      <c r="N10" s="33">
        <v>0</v>
      </c>
      <c r="O10" s="26">
        <v>0</v>
      </c>
      <c r="P10" s="28">
        <v>0</v>
      </c>
      <c r="Q10" s="29">
        <v>0</v>
      </c>
      <c r="R10" s="27">
        <v>2</v>
      </c>
      <c r="S10" s="30">
        <v>33.332999999999998</v>
      </c>
      <c r="T10" s="34">
        <v>1</v>
      </c>
      <c r="U10" s="29">
        <v>16.666699999999999</v>
      </c>
      <c r="V10" s="34">
        <v>0</v>
      </c>
      <c r="W10" s="30">
        <v>0</v>
      </c>
      <c r="X10" s="31">
        <v>2000</v>
      </c>
      <c r="Y10" s="32">
        <v>100</v>
      </c>
    </row>
    <row r="11" spans="1:25" s="22" customFormat="1" ht="15" customHeight="1" x14ac:dyDescent="0.25">
      <c r="A11" s="21" t="s">
        <v>14</v>
      </c>
      <c r="B11" s="57" t="s">
        <v>18</v>
      </c>
      <c r="C11" s="46">
        <v>16</v>
      </c>
      <c r="D11" s="47">
        <v>0</v>
      </c>
      <c r="E11" s="48">
        <v>0</v>
      </c>
      <c r="F11" s="50">
        <v>0</v>
      </c>
      <c r="G11" s="48">
        <v>0</v>
      </c>
      <c r="H11" s="49">
        <v>0</v>
      </c>
      <c r="I11" s="48">
        <v>0</v>
      </c>
      <c r="J11" s="49">
        <v>7</v>
      </c>
      <c r="K11" s="48">
        <v>43.75</v>
      </c>
      <c r="L11" s="49">
        <v>8</v>
      </c>
      <c r="M11" s="48">
        <v>50</v>
      </c>
      <c r="N11" s="49">
        <v>0</v>
      </c>
      <c r="O11" s="48">
        <v>0</v>
      </c>
      <c r="P11" s="58">
        <v>1</v>
      </c>
      <c r="Q11" s="52">
        <v>6.25</v>
      </c>
      <c r="R11" s="49">
        <v>5</v>
      </c>
      <c r="S11" s="54">
        <v>31.25</v>
      </c>
      <c r="T11" s="59">
        <v>0</v>
      </c>
      <c r="U11" s="52">
        <v>0</v>
      </c>
      <c r="V11" s="47">
        <v>0</v>
      </c>
      <c r="W11" s="54">
        <v>0</v>
      </c>
      <c r="X11" s="55">
        <v>1088</v>
      </c>
      <c r="Y11" s="56">
        <v>100</v>
      </c>
    </row>
    <row r="12" spans="1:25" s="22" customFormat="1" ht="15" customHeight="1" x14ac:dyDescent="0.25">
      <c r="A12" s="21" t="s">
        <v>14</v>
      </c>
      <c r="B12" s="23" t="s">
        <v>20</v>
      </c>
      <c r="C12" s="24">
        <v>66</v>
      </c>
      <c r="D12" s="25">
        <v>1</v>
      </c>
      <c r="E12" s="26">
        <v>1.5152000000000001</v>
      </c>
      <c r="F12" s="33">
        <v>0</v>
      </c>
      <c r="G12" s="26">
        <v>0</v>
      </c>
      <c r="H12" s="27">
        <v>25</v>
      </c>
      <c r="I12" s="26">
        <v>37.878799999999998</v>
      </c>
      <c r="J12" s="27">
        <v>26</v>
      </c>
      <c r="K12" s="26">
        <v>39.393999999999998</v>
      </c>
      <c r="L12" s="27">
        <v>10</v>
      </c>
      <c r="M12" s="26">
        <v>15.151999999999999</v>
      </c>
      <c r="N12" s="33">
        <v>1</v>
      </c>
      <c r="O12" s="26">
        <v>1.51515</v>
      </c>
      <c r="P12" s="35">
        <v>3</v>
      </c>
      <c r="Q12" s="29">
        <v>4.5454999999999997</v>
      </c>
      <c r="R12" s="27">
        <v>11</v>
      </c>
      <c r="S12" s="30">
        <v>16.667000000000002</v>
      </c>
      <c r="T12" s="34">
        <v>2</v>
      </c>
      <c r="U12" s="29">
        <v>3.0303</v>
      </c>
      <c r="V12" s="25">
        <v>2</v>
      </c>
      <c r="W12" s="30">
        <v>3.0303</v>
      </c>
      <c r="X12" s="31">
        <v>10121</v>
      </c>
      <c r="Y12" s="32">
        <v>100</v>
      </c>
    </row>
    <row r="13" spans="1:25" s="22" customFormat="1" ht="15" customHeight="1" x14ac:dyDescent="0.25">
      <c r="A13" s="21" t="s">
        <v>14</v>
      </c>
      <c r="B13" s="57" t="s">
        <v>21</v>
      </c>
      <c r="C13" s="46">
        <v>3</v>
      </c>
      <c r="D13" s="47">
        <v>0</v>
      </c>
      <c r="E13" s="48">
        <v>0</v>
      </c>
      <c r="F13" s="50">
        <v>0</v>
      </c>
      <c r="G13" s="48">
        <v>0</v>
      </c>
      <c r="H13" s="49">
        <v>0</v>
      </c>
      <c r="I13" s="48">
        <v>0</v>
      </c>
      <c r="J13" s="50">
        <v>0</v>
      </c>
      <c r="K13" s="48">
        <v>0</v>
      </c>
      <c r="L13" s="49">
        <v>3</v>
      </c>
      <c r="M13" s="48">
        <v>100</v>
      </c>
      <c r="N13" s="49">
        <v>0</v>
      </c>
      <c r="O13" s="48">
        <v>0</v>
      </c>
      <c r="P13" s="51">
        <v>0</v>
      </c>
      <c r="Q13" s="52">
        <v>0</v>
      </c>
      <c r="R13" s="49">
        <v>2</v>
      </c>
      <c r="S13" s="54">
        <v>66.667000000000002</v>
      </c>
      <c r="T13" s="47">
        <v>0</v>
      </c>
      <c r="U13" s="52">
        <v>0</v>
      </c>
      <c r="V13" s="59">
        <v>0</v>
      </c>
      <c r="W13" s="54">
        <v>0</v>
      </c>
      <c r="X13" s="55">
        <v>1908</v>
      </c>
      <c r="Y13" s="56">
        <v>100</v>
      </c>
    </row>
    <row r="14" spans="1:25" s="22" customFormat="1" ht="15" customHeight="1" x14ac:dyDescent="0.25">
      <c r="A14" s="21" t="s">
        <v>14</v>
      </c>
      <c r="B14" s="23" t="s">
        <v>22</v>
      </c>
      <c r="C14" s="36">
        <v>5</v>
      </c>
      <c r="D14" s="25">
        <v>1</v>
      </c>
      <c r="E14" s="26">
        <v>20</v>
      </c>
      <c r="F14" s="27">
        <v>0</v>
      </c>
      <c r="G14" s="26">
        <v>0</v>
      </c>
      <c r="H14" s="33">
        <v>0</v>
      </c>
      <c r="I14" s="26">
        <v>0</v>
      </c>
      <c r="J14" s="33">
        <v>2</v>
      </c>
      <c r="K14" s="26">
        <v>40</v>
      </c>
      <c r="L14" s="33">
        <v>2</v>
      </c>
      <c r="M14" s="26">
        <v>40</v>
      </c>
      <c r="N14" s="27">
        <v>0</v>
      </c>
      <c r="O14" s="26">
        <v>0</v>
      </c>
      <c r="P14" s="28">
        <v>0</v>
      </c>
      <c r="Q14" s="29">
        <v>0</v>
      </c>
      <c r="R14" s="27">
        <v>3</v>
      </c>
      <c r="S14" s="30">
        <v>60</v>
      </c>
      <c r="T14" s="34">
        <v>0</v>
      </c>
      <c r="U14" s="29">
        <v>0</v>
      </c>
      <c r="V14" s="25">
        <v>0</v>
      </c>
      <c r="W14" s="30">
        <v>0</v>
      </c>
      <c r="X14" s="31">
        <v>1214</v>
      </c>
      <c r="Y14" s="32">
        <v>100</v>
      </c>
    </row>
    <row r="15" spans="1:25" s="22" customFormat="1" ht="15" customHeight="1" x14ac:dyDescent="0.25">
      <c r="A15" s="21" t="s">
        <v>14</v>
      </c>
      <c r="B15" s="57" t="s">
        <v>24</v>
      </c>
      <c r="C15" s="60">
        <v>0</v>
      </c>
      <c r="D15" s="47">
        <v>0</v>
      </c>
      <c r="E15" s="48">
        <v>0</v>
      </c>
      <c r="F15" s="49">
        <v>0</v>
      </c>
      <c r="G15" s="48">
        <v>0</v>
      </c>
      <c r="H15" s="49">
        <v>0</v>
      </c>
      <c r="I15" s="48">
        <v>0</v>
      </c>
      <c r="J15" s="50">
        <v>0</v>
      </c>
      <c r="K15" s="48">
        <v>0</v>
      </c>
      <c r="L15" s="49">
        <v>0</v>
      </c>
      <c r="M15" s="48">
        <v>0</v>
      </c>
      <c r="N15" s="50">
        <v>0</v>
      </c>
      <c r="O15" s="48">
        <v>0</v>
      </c>
      <c r="P15" s="51">
        <v>0</v>
      </c>
      <c r="Q15" s="52">
        <v>0</v>
      </c>
      <c r="R15" s="49">
        <v>0</v>
      </c>
      <c r="S15" s="54">
        <v>0</v>
      </c>
      <c r="T15" s="59">
        <v>0</v>
      </c>
      <c r="U15" s="52">
        <v>0</v>
      </c>
      <c r="V15" s="47">
        <v>0</v>
      </c>
      <c r="W15" s="54">
        <v>0</v>
      </c>
      <c r="X15" s="55">
        <v>231</v>
      </c>
      <c r="Y15" s="56">
        <v>100</v>
      </c>
    </row>
    <row r="16" spans="1:25" s="22" customFormat="1" ht="15" customHeight="1" x14ac:dyDescent="0.25">
      <c r="A16" s="21" t="s">
        <v>14</v>
      </c>
      <c r="B16" s="23" t="s">
        <v>23</v>
      </c>
      <c r="C16" s="36">
        <v>4</v>
      </c>
      <c r="D16" s="34">
        <v>0</v>
      </c>
      <c r="E16" s="26">
        <v>0</v>
      </c>
      <c r="F16" s="33">
        <v>0</v>
      </c>
      <c r="G16" s="26">
        <v>0</v>
      </c>
      <c r="H16" s="27">
        <v>0</v>
      </c>
      <c r="I16" s="26">
        <v>0</v>
      </c>
      <c r="J16" s="33">
        <v>4</v>
      </c>
      <c r="K16" s="26">
        <v>100</v>
      </c>
      <c r="L16" s="27">
        <v>0</v>
      </c>
      <c r="M16" s="26">
        <v>0</v>
      </c>
      <c r="N16" s="33">
        <v>0</v>
      </c>
      <c r="O16" s="26">
        <v>0</v>
      </c>
      <c r="P16" s="28">
        <v>0</v>
      </c>
      <c r="Q16" s="29">
        <v>0</v>
      </c>
      <c r="R16" s="27">
        <v>2</v>
      </c>
      <c r="S16" s="30">
        <v>50</v>
      </c>
      <c r="T16" s="25">
        <v>0</v>
      </c>
      <c r="U16" s="29">
        <v>0</v>
      </c>
      <c r="V16" s="25">
        <v>0</v>
      </c>
      <c r="W16" s="30">
        <v>0</v>
      </c>
      <c r="X16" s="31">
        <v>228</v>
      </c>
      <c r="Y16" s="32">
        <v>100</v>
      </c>
    </row>
    <row r="17" spans="1:25" s="22" customFormat="1" ht="15" customHeight="1" x14ac:dyDescent="0.25">
      <c r="A17" s="21" t="s">
        <v>14</v>
      </c>
      <c r="B17" s="57" t="s">
        <v>25</v>
      </c>
      <c r="C17" s="46">
        <v>8</v>
      </c>
      <c r="D17" s="47">
        <v>0</v>
      </c>
      <c r="E17" s="48">
        <v>0</v>
      </c>
      <c r="F17" s="50">
        <v>0</v>
      </c>
      <c r="G17" s="48">
        <v>0</v>
      </c>
      <c r="H17" s="49">
        <v>1</v>
      </c>
      <c r="I17" s="48">
        <v>12.5</v>
      </c>
      <c r="J17" s="50">
        <v>3</v>
      </c>
      <c r="K17" s="48">
        <v>37.5</v>
      </c>
      <c r="L17" s="50">
        <v>3</v>
      </c>
      <c r="M17" s="48">
        <v>37.5</v>
      </c>
      <c r="N17" s="50">
        <v>0</v>
      </c>
      <c r="O17" s="48">
        <v>0</v>
      </c>
      <c r="P17" s="58">
        <v>1</v>
      </c>
      <c r="Q17" s="52">
        <v>12.5</v>
      </c>
      <c r="R17" s="49">
        <v>4</v>
      </c>
      <c r="S17" s="54">
        <v>50</v>
      </c>
      <c r="T17" s="47">
        <v>0</v>
      </c>
      <c r="U17" s="52">
        <v>0</v>
      </c>
      <c r="V17" s="47">
        <v>0</v>
      </c>
      <c r="W17" s="54">
        <v>0</v>
      </c>
      <c r="X17" s="55">
        <v>3976</v>
      </c>
      <c r="Y17" s="56">
        <v>100</v>
      </c>
    </row>
    <row r="18" spans="1:25" s="22" customFormat="1" ht="15" customHeight="1" x14ac:dyDescent="0.25">
      <c r="A18" s="21" t="s">
        <v>14</v>
      </c>
      <c r="B18" s="23" t="s">
        <v>26</v>
      </c>
      <c r="C18" s="24">
        <v>12</v>
      </c>
      <c r="D18" s="34">
        <v>0</v>
      </c>
      <c r="E18" s="26">
        <v>0</v>
      </c>
      <c r="F18" s="27">
        <v>0</v>
      </c>
      <c r="G18" s="26">
        <v>0</v>
      </c>
      <c r="H18" s="27">
        <v>1</v>
      </c>
      <c r="I18" s="26">
        <v>8.3332999999999995</v>
      </c>
      <c r="J18" s="27">
        <v>10</v>
      </c>
      <c r="K18" s="26">
        <v>83.332999999999998</v>
      </c>
      <c r="L18" s="27">
        <v>1</v>
      </c>
      <c r="M18" s="26">
        <v>8.3330000000000002</v>
      </c>
      <c r="N18" s="27">
        <v>0</v>
      </c>
      <c r="O18" s="26">
        <v>0</v>
      </c>
      <c r="P18" s="28">
        <v>0</v>
      </c>
      <c r="Q18" s="29">
        <v>0</v>
      </c>
      <c r="R18" s="27">
        <v>9</v>
      </c>
      <c r="S18" s="30">
        <v>75</v>
      </c>
      <c r="T18" s="34">
        <v>0</v>
      </c>
      <c r="U18" s="29">
        <v>0</v>
      </c>
      <c r="V18" s="25">
        <v>1</v>
      </c>
      <c r="W18" s="30">
        <v>8.3332999999999995</v>
      </c>
      <c r="X18" s="31">
        <v>2416</v>
      </c>
      <c r="Y18" s="32">
        <v>100</v>
      </c>
    </row>
    <row r="19" spans="1:25" s="22" customFormat="1" ht="15" customHeight="1" x14ac:dyDescent="0.25">
      <c r="A19" s="21" t="s">
        <v>14</v>
      </c>
      <c r="B19" s="57" t="s">
        <v>27</v>
      </c>
      <c r="C19" s="46">
        <v>0</v>
      </c>
      <c r="D19" s="47">
        <v>0</v>
      </c>
      <c r="E19" s="48">
        <v>0</v>
      </c>
      <c r="F19" s="49">
        <v>0</v>
      </c>
      <c r="G19" s="48">
        <v>0</v>
      </c>
      <c r="H19" s="49">
        <v>0</v>
      </c>
      <c r="I19" s="48">
        <v>0</v>
      </c>
      <c r="J19" s="49">
        <v>0</v>
      </c>
      <c r="K19" s="48">
        <v>0</v>
      </c>
      <c r="L19" s="49">
        <v>0</v>
      </c>
      <c r="M19" s="48">
        <v>0</v>
      </c>
      <c r="N19" s="49">
        <v>0</v>
      </c>
      <c r="O19" s="48">
        <v>0</v>
      </c>
      <c r="P19" s="51">
        <v>0</v>
      </c>
      <c r="Q19" s="52">
        <v>0</v>
      </c>
      <c r="R19" s="49">
        <v>0</v>
      </c>
      <c r="S19" s="54">
        <v>0</v>
      </c>
      <c r="T19" s="47">
        <v>0</v>
      </c>
      <c r="U19" s="52">
        <v>0</v>
      </c>
      <c r="V19" s="47">
        <v>0</v>
      </c>
      <c r="W19" s="54">
        <v>0</v>
      </c>
      <c r="X19" s="55">
        <v>292</v>
      </c>
      <c r="Y19" s="56">
        <v>100</v>
      </c>
    </row>
    <row r="20" spans="1:25" s="22" customFormat="1" ht="15" customHeight="1" x14ac:dyDescent="0.25">
      <c r="A20" s="21" t="s">
        <v>14</v>
      </c>
      <c r="B20" s="23" t="s">
        <v>29</v>
      </c>
      <c r="C20" s="36">
        <v>3</v>
      </c>
      <c r="D20" s="34">
        <v>0</v>
      </c>
      <c r="E20" s="26">
        <v>0</v>
      </c>
      <c r="F20" s="33">
        <v>0</v>
      </c>
      <c r="G20" s="26">
        <v>0</v>
      </c>
      <c r="H20" s="27">
        <v>1</v>
      </c>
      <c r="I20" s="26">
        <v>33.333300000000001</v>
      </c>
      <c r="J20" s="33">
        <v>1</v>
      </c>
      <c r="K20" s="26">
        <v>33.332999999999998</v>
      </c>
      <c r="L20" s="33">
        <v>1</v>
      </c>
      <c r="M20" s="26">
        <v>33.332999999999998</v>
      </c>
      <c r="N20" s="33">
        <v>0</v>
      </c>
      <c r="O20" s="26">
        <v>0</v>
      </c>
      <c r="P20" s="28">
        <v>0</v>
      </c>
      <c r="Q20" s="29">
        <v>0</v>
      </c>
      <c r="R20" s="27">
        <v>0</v>
      </c>
      <c r="S20" s="30">
        <v>0</v>
      </c>
      <c r="T20" s="34">
        <v>0</v>
      </c>
      <c r="U20" s="29">
        <v>0</v>
      </c>
      <c r="V20" s="25">
        <v>0</v>
      </c>
      <c r="W20" s="30">
        <v>0</v>
      </c>
      <c r="X20" s="31">
        <v>725</v>
      </c>
      <c r="Y20" s="32">
        <v>100</v>
      </c>
    </row>
    <row r="21" spans="1:25" s="22" customFormat="1" ht="15" customHeight="1" x14ac:dyDescent="0.25">
      <c r="A21" s="21" t="s">
        <v>14</v>
      </c>
      <c r="B21" s="57" t="s">
        <v>30</v>
      </c>
      <c r="C21" s="46">
        <v>50</v>
      </c>
      <c r="D21" s="59">
        <v>0</v>
      </c>
      <c r="E21" s="48">
        <v>0</v>
      </c>
      <c r="F21" s="49">
        <v>0</v>
      </c>
      <c r="G21" s="48">
        <v>0</v>
      </c>
      <c r="H21" s="50">
        <v>25</v>
      </c>
      <c r="I21" s="48">
        <v>50</v>
      </c>
      <c r="J21" s="49">
        <v>19</v>
      </c>
      <c r="K21" s="48">
        <v>38</v>
      </c>
      <c r="L21" s="49">
        <v>5</v>
      </c>
      <c r="M21" s="48">
        <v>10</v>
      </c>
      <c r="N21" s="49">
        <v>0</v>
      </c>
      <c r="O21" s="48">
        <v>0</v>
      </c>
      <c r="P21" s="58">
        <v>1</v>
      </c>
      <c r="Q21" s="52">
        <v>2</v>
      </c>
      <c r="R21" s="49">
        <v>35</v>
      </c>
      <c r="S21" s="54">
        <v>70</v>
      </c>
      <c r="T21" s="47">
        <v>2</v>
      </c>
      <c r="U21" s="52">
        <v>4</v>
      </c>
      <c r="V21" s="59">
        <v>24</v>
      </c>
      <c r="W21" s="54">
        <v>48</v>
      </c>
      <c r="X21" s="55">
        <v>4145</v>
      </c>
      <c r="Y21" s="56">
        <v>100</v>
      </c>
    </row>
    <row r="22" spans="1:25" s="22" customFormat="1" ht="15" customHeight="1" x14ac:dyDescent="0.25">
      <c r="A22" s="21" t="s">
        <v>14</v>
      </c>
      <c r="B22" s="23" t="s">
        <v>31</v>
      </c>
      <c r="C22" s="24">
        <v>33</v>
      </c>
      <c r="D22" s="25">
        <v>0</v>
      </c>
      <c r="E22" s="26">
        <v>0</v>
      </c>
      <c r="F22" s="33">
        <v>1</v>
      </c>
      <c r="G22" s="26">
        <v>3.0303</v>
      </c>
      <c r="H22" s="33">
        <v>3</v>
      </c>
      <c r="I22" s="26">
        <v>9.0908999999999995</v>
      </c>
      <c r="J22" s="27">
        <v>6</v>
      </c>
      <c r="K22" s="26">
        <v>18.181999999999999</v>
      </c>
      <c r="L22" s="27">
        <v>22</v>
      </c>
      <c r="M22" s="26">
        <v>66.667000000000002</v>
      </c>
      <c r="N22" s="27">
        <v>0</v>
      </c>
      <c r="O22" s="26">
        <v>0</v>
      </c>
      <c r="P22" s="35">
        <v>1</v>
      </c>
      <c r="Q22" s="29">
        <v>3.0303</v>
      </c>
      <c r="R22" s="27">
        <v>7</v>
      </c>
      <c r="S22" s="30">
        <v>21.212</v>
      </c>
      <c r="T22" s="34">
        <v>0</v>
      </c>
      <c r="U22" s="29">
        <v>0</v>
      </c>
      <c r="V22" s="34">
        <v>0</v>
      </c>
      <c r="W22" s="30">
        <v>0</v>
      </c>
      <c r="X22" s="31">
        <v>1886</v>
      </c>
      <c r="Y22" s="32">
        <v>100</v>
      </c>
    </row>
    <row r="23" spans="1:25" s="22" customFormat="1" ht="15" customHeight="1" x14ac:dyDescent="0.25">
      <c r="A23" s="21" t="s">
        <v>14</v>
      </c>
      <c r="B23" s="57" t="s">
        <v>28</v>
      </c>
      <c r="C23" s="46">
        <v>0</v>
      </c>
      <c r="D23" s="47">
        <v>0</v>
      </c>
      <c r="E23" s="48">
        <v>0</v>
      </c>
      <c r="F23" s="49">
        <v>0</v>
      </c>
      <c r="G23" s="48">
        <v>0</v>
      </c>
      <c r="H23" s="49">
        <v>0</v>
      </c>
      <c r="I23" s="48">
        <v>0</v>
      </c>
      <c r="J23" s="49">
        <v>0</v>
      </c>
      <c r="K23" s="48">
        <v>0</v>
      </c>
      <c r="L23" s="49">
        <v>0</v>
      </c>
      <c r="M23" s="48">
        <v>0</v>
      </c>
      <c r="N23" s="49">
        <v>0</v>
      </c>
      <c r="O23" s="48">
        <v>0</v>
      </c>
      <c r="P23" s="58">
        <v>0</v>
      </c>
      <c r="Q23" s="52">
        <v>0</v>
      </c>
      <c r="R23" s="49">
        <v>0</v>
      </c>
      <c r="S23" s="54">
        <v>0</v>
      </c>
      <c r="T23" s="59">
        <v>0</v>
      </c>
      <c r="U23" s="52">
        <v>0</v>
      </c>
      <c r="V23" s="47">
        <v>0</v>
      </c>
      <c r="W23" s="54">
        <v>0</v>
      </c>
      <c r="X23" s="55">
        <v>1343</v>
      </c>
      <c r="Y23" s="56">
        <v>100</v>
      </c>
    </row>
    <row r="24" spans="1:25" s="22" customFormat="1" ht="15" customHeight="1" x14ac:dyDescent="0.25">
      <c r="A24" s="21" t="s">
        <v>14</v>
      </c>
      <c r="B24" s="23" t="s">
        <v>32</v>
      </c>
      <c r="C24" s="24">
        <v>2</v>
      </c>
      <c r="D24" s="34">
        <v>0</v>
      </c>
      <c r="E24" s="26">
        <v>0</v>
      </c>
      <c r="F24" s="27">
        <v>0</v>
      </c>
      <c r="G24" s="26">
        <v>0</v>
      </c>
      <c r="H24" s="33">
        <v>0</v>
      </c>
      <c r="I24" s="26">
        <v>0</v>
      </c>
      <c r="J24" s="27">
        <v>1</v>
      </c>
      <c r="K24" s="26">
        <v>50</v>
      </c>
      <c r="L24" s="27">
        <v>1</v>
      </c>
      <c r="M24" s="26">
        <v>50</v>
      </c>
      <c r="N24" s="27">
        <v>0</v>
      </c>
      <c r="O24" s="26">
        <v>0</v>
      </c>
      <c r="P24" s="35">
        <v>0</v>
      </c>
      <c r="Q24" s="29">
        <v>0</v>
      </c>
      <c r="R24" s="27">
        <v>0</v>
      </c>
      <c r="S24" s="30">
        <v>0</v>
      </c>
      <c r="T24" s="34">
        <v>0</v>
      </c>
      <c r="U24" s="29">
        <v>0</v>
      </c>
      <c r="V24" s="25">
        <v>0</v>
      </c>
      <c r="W24" s="30">
        <v>0</v>
      </c>
      <c r="X24" s="31">
        <v>1350</v>
      </c>
      <c r="Y24" s="32">
        <v>100</v>
      </c>
    </row>
    <row r="25" spans="1:25" s="22" customFormat="1" ht="15" customHeight="1" x14ac:dyDescent="0.25">
      <c r="A25" s="21" t="s">
        <v>14</v>
      </c>
      <c r="B25" s="57" t="s">
        <v>33</v>
      </c>
      <c r="C25" s="60">
        <v>0</v>
      </c>
      <c r="D25" s="47">
        <v>0</v>
      </c>
      <c r="E25" s="48">
        <v>0</v>
      </c>
      <c r="F25" s="49">
        <v>0</v>
      </c>
      <c r="G25" s="48">
        <v>0</v>
      </c>
      <c r="H25" s="49">
        <v>0</v>
      </c>
      <c r="I25" s="48">
        <v>0</v>
      </c>
      <c r="J25" s="49">
        <v>0</v>
      </c>
      <c r="K25" s="48">
        <v>0</v>
      </c>
      <c r="L25" s="50">
        <v>0</v>
      </c>
      <c r="M25" s="48">
        <v>0</v>
      </c>
      <c r="N25" s="49">
        <v>0</v>
      </c>
      <c r="O25" s="48">
        <v>0</v>
      </c>
      <c r="P25" s="58">
        <v>0</v>
      </c>
      <c r="Q25" s="52">
        <v>0</v>
      </c>
      <c r="R25" s="49">
        <v>0</v>
      </c>
      <c r="S25" s="54">
        <v>0</v>
      </c>
      <c r="T25" s="47">
        <v>0</v>
      </c>
      <c r="U25" s="52">
        <v>0</v>
      </c>
      <c r="V25" s="47">
        <v>0</v>
      </c>
      <c r="W25" s="54">
        <v>0</v>
      </c>
      <c r="X25" s="55">
        <v>1401</v>
      </c>
      <c r="Y25" s="56">
        <v>100</v>
      </c>
    </row>
    <row r="26" spans="1:25" s="22" customFormat="1" ht="15" customHeight="1" x14ac:dyDescent="0.25">
      <c r="A26" s="21" t="s">
        <v>14</v>
      </c>
      <c r="B26" s="23" t="s">
        <v>34</v>
      </c>
      <c r="C26" s="24">
        <v>1</v>
      </c>
      <c r="D26" s="25">
        <v>0</v>
      </c>
      <c r="E26" s="26">
        <v>0</v>
      </c>
      <c r="F26" s="33">
        <v>0</v>
      </c>
      <c r="G26" s="26">
        <v>0</v>
      </c>
      <c r="H26" s="33">
        <v>0</v>
      </c>
      <c r="I26" s="26">
        <v>0</v>
      </c>
      <c r="J26" s="27">
        <v>1</v>
      </c>
      <c r="K26" s="26">
        <v>100</v>
      </c>
      <c r="L26" s="27">
        <v>0</v>
      </c>
      <c r="M26" s="26">
        <v>0</v>
      </c>
      <c r="N26" s="33">
        <v>0</v>
      </c>
      <c r="O26" s="26">
        <v>0</v>
      </c>
      <c r="P26" s="35">
        <v>0</v>
      </c>
      <c r="Q26" s="29">
        <v>0</v>
      </c>
      <c r="R26" s="27">
        <v>0</v>
      </c>
      <c r="S26" s="30">
        <v>0</v>
      </c>
      <c r="T26" s="25">
        <v>0</v>
      </c>
      <c r="U26" s="29">
        <v>0</v>
      </c>
      <c r="V26" s="25">
        <v>0</v>
      </c>
      <c r="W26" s="30">
        <v>0</v>
      </c>
      <c r="X26" s="31">
        <v>1365</v>
      </c>
      <c r="Y26" s="32">
        <v>100</v>
      </c>
    </row>
    <row r="27" spans="1:25" s="22" customFormat="1" ht="15" customHeight="1" x14ac:dyDescent="0.25">
      <c r="A27" s="21" t="s">
        <v>14</v>
      </c>
      <c r="B27" s="57" t="s">
        <v>37</v>
      </c>
      <c r="C27" s="60">
        <v>4</v>
      </c>
      <c r="D27" s="59">
        <v>0</v>
      </c>
      <c r="E27" s="48">
        <v>0</v>
      </c>
      <c r="F27" s="49">
        <v>0</v>
      </c>
      <c r="G27" s="48">
        <v>0</v>
      </c>
      <c r="H27" s="49">
        <v>0</v>
      </c>
      <c r="I27" s="48">
        <v>0</v>
      </c>
      <c r="J27" s="49">
        <v>0</v>
      </c>
      <c r="K27" s="48">
        <v>0</v>
      </c>
      <c r="L27" s="50">
        <v>4</v>
      </c>
      <c r="M27" s="48">
        <v>100</v>
      </c>
      <c r="N27" s="49">
        <v>0</v>
      </c>
      <c r="O27" s="48">
        <v>0</v>
      </c>
      <c r="P27" s="58">
        <v>0</v>
      </c>
      <c r="Q27" s="52">
        <v>0</v>
      </c>
      <c r="R27" s="49">
        <v>4</v>
      </c>
      <c r="S27" s="54">
        <v>100</v>
      </c>
      <c r="T27" s="59">
        <v>1</v>
      </c>
      <c r="U27" s="52">
        <v>25</v>
      </c>
      <c r="V27" s="47">
        <v>0</v>
      </c>
      <c r="W27" s="54">
        <v>0</v>
      </c>
      <c r="X27" s="55">
        <v>579</v>
      </c>
      <c r="Y27" s="56">
        <v>100</v>
      </c>
    </row>
    <row r="28" spans="1:25" s="22" customFormat="1" ht="15" customHeight="1" x14ac:dyDescent="0.25">
      <c r="A28" s="21" t="s">
        <v>14</v>
      </c>
      <c r="B28" s="23" t="s">
        <v>36</v>
      </c>
      <c r="C28" s="36">
        <v>0</v>
      </c>
      <c r="D28" s="34">
        <v>0</v>
      </c>
      <c r="E28" s="26">
        <v>0</v>
      </c>
      <c r="F28" s="27">
        <v>0</v>
      </c>
      <c r="G28" s="26">
        <v>0</v>
      </c>
      <c r="H28" s="27">
        <v>0</v>
      </c>
      <c r="I28" s="26">
        <v>0</v>
      </c>
      <c r="J28" s="27">
        <v>0</v>
      </c>
      <c r="K28" s="26">
        <v>0</v>
      </c>
      <c r="L28" s="33">
        <v>0</v>
      </c>
      <c r="M28" s="26">
        <v>0</v>
      </c>
      <c r="N28" s="27">
        <v>0</v>
      </c>
      <c r="O28" s="26">
        <v>0</v>
      </c>
      <c r="P28" s="28">
        <v>0</v>
      </c>
      <c r="Q28" s="29">
        <v>0</v>
      </c>
      <c r="R28" s="27">
        <v>0</v>
      </c>
      <c r="S28" s="30">
        <v>0</v>
      </c>
      <c r="T28" s="25">
        <v>0</v>
      </c>
      <c r="U28" s="29">
        <v>0</v>
      </c>
      <c r="V28" s="34">
        <v>0</v>
      </c>
      <c r="W28" s="30">
        <v>0</v>
      </c>
      <c r="X28" s="31">
        <v>1414</v>
      </c>
      <c r="Y28" s="32">
        <v>100</v>
      </c>
    </row>
    <row r="29" spans="1:25" s="22" customFormat="1" ht="15" customHeight="1" x14ac:dyDescent="0.25">
      <c r="A29" s="21" t="s">
        <v>14</v>
      </c>
      <c r="B29" s="57" t="s">
        <v>35</v>
      </c>
      <c r="C29" s="46">
        <v>1</v>
      </c>
      <c r="D29" s="47">
        <v>0</v>
      </c>
      <c r="E29" s="48">
        <v>0</v>
      </c>
      <c r="F29" s="49">
        <v>0</v>
      </c>
      <c r="G29" s="48">
        <v>0</v>
      </c>
      <c r="H29" s="50">
        <v>0</v>
      </c>
      <c r="I29" s="48">
        <v>0</v>
      </c>
      <c r="J29" s="49">
        <v>0</v>
      </c>
      <c r="K29" s="48">
        <v>0</v>
      </c>
      <c r="L29" s="50">
        <v>1</v>
      </c>
      <c r="M29" s="48">
        <v>100</v>
      </c>
      <c r="N29" s="49">
        <v>0</v>
      </c>
      <c r="O29" s="48">
        <v>0</v>
      </c>
      <c r="P29" s="58">
        <v>0</v>
      </c>
      <c r="Q29" s="52">
        <v>0</v>
      </c>
      <c r="R29" s="49">
        <v>1</v>
      </c>
      <c r="S29" s="54">
        <v>100</v>
      </c>
      <c r="T29" s="47">
        <v>0</v>
      </c>
      <c r="U29" s="52">
        <v>0</v>
      </c>
      <c r="V29" s="47">
        <v>0</v>
      </c>
      <c r="W29" s="54">
        <v>0</v>
      </c>
      <c r="X29" s="55">
        <v>1870</v>
      </c>
      <c r="Y29" s="56">
        <v>99.465000000000003</v>
      </c>
    </row>
    <row r="30" spans="1:25" s="22" customFormat="1" ht="15" customHeight="1" x14ac:dyDescent="0.25">
      <c r="A30" s="21" t="s">
        <v>14</v>
      </c>
      <c r="B30" s="23" t="s">
        <v>38</v>
      </c>
      <c r="C30" s="24">
        <v>11</v>
      </c>
      <c r="D30" s="34">
        <v>0</v>
      </c>
      <c r="E30" s="26">
        <v>0</v>
      </c>
      <c r="F30" s="33">
        <v>0</v>
      </c>
      <c r="G30" s="26">
        <v>0</v>
      </c>
      <c r="H30" s="27">
        <v>0</v>
      </c>
      <c r="I30" s="26">
        <v>0</v>
      </c>
      <c r="J30" s="27">
        <v>9</v>
      </c>
      <c r="K30" s="26">
        <v>81.817999999999998</v>
      </c>
      <c r="L30" s="27">
        <v>2</v>
      </c>
      <c r="M30" s="26">
        <v>18.181999999999999</v>
      </c>
      <c r="N30" s="27">
        <v>0</v>
      </c>
      <c r="O30" s="26">
        <v>0</v>
      </c>
      <c r="P30" s="28">
        <v>0</v>
      </c>
      <c r="Q30" s="29">
        <v>0</v>
      </c>
      <c r="R30" s="27">
        <v>8</v>
      </c>
      <c r="S30" s="30">
        <v>72.727000000000004</v>
      </c>
      <c r="T30" s="25">
        <v>0</v>
      </c>
      <c r="U30" s="29">
        <v>0</v>
      </c>
      <c r="V30" s="34">
        <v>0</v>
      </c>
      <c r="W30" s="30">
        <v>0</v>
      </c>
      <c r="X30" s="31">
        <v>3559</v>
      </c>
      <c r="Y30" s="32">
        <v>100</v>
      </c>
    </row>
    <row r="31" spans="1:25" s="22" customFormat="1" ht="15" customHeight="1" x14ac:dyDescent="0.25">
      <c r="A31" s="21" t="s">
        <v>14</v>
      </c>
      <c r="B31" s="57" t="s">
        <v>39</v>
      </c>
      <c r="C31" s="60">
        <v>5</v>
      </c>
      <c r="D31" s="47">
        <v>0</v>
      </c>
      <c r="E31" s="48">
        <v>0</v>
      </c>
      <c r="F31" s="50">
        <v>0</v>
      </c>
      <c r="G31" s="48">
        <v>0</v>
      </c>
      <c r="H31" s="49">
        <v>0</v>
      </c>
      <c r="I31" s="48">
        <v>0</v>
      </c>
      <c r="J31" s="50">
        <v>5</v>
      </c>
      <c r="K31" s="48">
        <v>100</v>
      </c>
      <c r="L31" s="49">
        <v>0</v>
      </c>
      <c r="M31" s="48">
        <v>0</v>
      </c>
      <c r="N31" s="49">
        <v>0</v>
      </c>
      <c r="O31" s="48">
        <v>0</v>
      </c>
      <c r="P31" s="51">
        <v>0</v>
      </c>
      <c r="Q31" s="52">
        <v>0</v>
      </c>
      <c r="R31" s="49">
        <v>0</v>
      </c>
      <c r="S31" s="54">
        <v>0</v>
      </c>
      <c r="T31" s="47">
        <v>0</v>
      </c>
      <c r="U31" s="52">
        <v>0</v>
      </c>
      <c r="V31" s="59">
        <v>1</v>
      </c>
      <c r="W31" s="54">
        <v>20</v>
      </c>
      <c r="X31" s="55">
        <v>2232</v>
      </c>
      <c r="Y31" s="56">
        <v>100</v>
      </c>
    </row>
    <row r="32" spans="1:25" s="22" customFormat="1" ht="15" customHeight="1" x14ac:dyDescent="0.25">
      <c r="A32" s="21" t="s">
        <v>14</v>
      </c>
      <c r="B32" s="23" t="s">
        <v>41</v>
      </c>
      <c r="C32" s="24">
        <v>43</v>
      </c>
      <c r="D32" s="25">
        <v>1</v>
      </c>
      <c r="E32" s="26">
        <v>2.3256000000000001</v>
      </c>
      <c r="F32" s="27">
        <v>0</v>
      </c>
      <c r="G32" s="26">
        <v>0</v>
      </c>
      <c r="H32" s="27">
        <v>1</v>
      </c>
      <c r="I32" s="26">
        <v>2.3256000000000001</v>
      </c>
      <c r="J32" s="27">
        <v>20</v>
      </c>
      <c r="K32" s="26">
        <v>46.512</v>
      </c>
      <c r="L32" s="33">
        <v>21</v>
      </c>
      <c r="M32" s="26">
        <v>48.837000000000003</v>
      </c>
      <c r="N32" s="33">
        <v>0</v>
      </c>
      <c r="O32" s="26">
        <v>0</v>
      </c>
      <c r="P32" s="35">
        <v>0</v>
      </c>
      <c r="Q32" s="29">
        <v>0</v>
      </c>
      <c r="R32" s="27">
        <v>8</v>
      </c>
      <c r="S32" s="30">
        <v>18.605</v>
      </c>
      <c r="T32" s="34">
        <v>0</v>
      </c>
      <c r="U32" s="29">
        <v>0</v>
      </c>
      <c r="V32" s="25">
        <v>0</v>
      </c>
      <c r="W32" s="30">
        <v>0</v>
      </c>
      <c r="X32" s="31">
        <v>960</v>
      </c>
      <c r="Y32" s="32">
        <v>100</v>
      </c>
    </row>
    <row r="33" spans="1:25" s="22" customFormat="1" ht="15" customHeight="1" x14ac:dyDescent="0.25">
      <c r="A33" s="21" t="s">
        <v>14</v>
      </c>
      <c r="B33" s="57" t="s">
        <v>40</v>
      </c>
      <c r="C33" s="46">
        <v>21</v>
      </c>
      <c r="D33" s="59">
        <v>0</v>
      </c>
      <c r="E33" s="48">
        <v>0</v>
      </c>
      <c r="F33" s="49">
        <v>0</v>
      </c>
      <c r="G33" s="48">
        <v>0</v>
      </c>
      <c r="H33" s="50">
        <v>0</v>
      </c>
      <c r="I33" s="48">
        <v>0</v>
      </c>
      <c r="J33" s="49">
        <v>13</v>
      </c>
      <c r="K33" s="48">
        <v>61.905000000000001</v>
      </c>
      <c r="L33" s="49">
        <v>8</v>
      </c>
      <c r="M33" s="48">
        <v>38.094999999999999</v>
      </c>
      <c r="N33" s="50">
        <v>0</v>
      </c>
      <c r="O33" s="48">
        <v>0</v>
      </c>
      <c r="P33" s="58">
        <v>0</v>
      </c>
      <c r="Q33" s="52">
        <v>0</v>
      </c>
      <c r="R33" s="49">
        <v>4</v>
      </c>
      <c r="S33" s="54">
        <v>19.047999999999998</v>
      </c>
      <c r="T33" s="59">
        <v>1</v>
      </c>
      <c r="U33" s="52">
        <v>4.7618999999999998</v>
      </c>
      <c r="V33" s="59">
        <v>0</v>
      </c>
      <c r="W33" s="54">
        <v>0</v>
      </c>
      <c r="X33" s="55">
        <v>2381</v>
      </c>
      <c r="Y33" s="56">
        <v>100</v>
      </c>
    </row>
    <row r="34" spans="1:25" s="22" customFormat="1" ht="15" customHeight="1" x14ac:dyDescent="0.25">
      <c r="A34" s="21" t="s">
        <v>14</v>
      </c>
      <c r="B34" s="23" t="s">
        <v>42</v>
      </c>
      <c r="C34" s="36">
        <v>1</v>
      </c>
      <c r="D34" s="25">
        <v>0</v>
      </c>
      <c r="E34" s="26">
        <v>0</v>
      </c>
      <c r="F34" s="27">
        <v>0</v>
      </c>
      <c r="G34" s="26">
        <v>0</v>
      </c>
      <c r="H34" s="33">
        <v>0</v>
      </c>
      <c r="I34" s="26">
        <v>0</v>
      </c>
      <c r="J34" s="27">
        <v>0</v>
      </c>
      <c r="K34" s="26">
        <v>0</v>
      </c>
      <c r="L34" s="33">
        <v>1</v>
      </c>
      <c r="M34" s="26">
        <v>100</v>
      </c>
      <c r="N34" s="33">
        <v>0</v>
      </c>
      <c r="O34" s="26">
        <v>0</v>
      </c>
      <c r="P34" s="28">
        <v>0</v>
      </c>
      <c r="Q34" s="29">
        <v>0</v>
      </c>
      <c r="R34" s="27">
        <v>1</v>
      </c>
      <c r="S34" s="30">
        <v>100</v>
      </c>
      <c r="T34" s="34">
        <v>0</v>
      </c>
      <c r="U34" s="29">
        <v>0</v>
      </c>
      <c r="V34" s="34">
        <v>0</v>
      </c>
      <c r="W34" s="30">
        <v>0</v>
      </c>
      <c r="X34" s="31">
        <v>823</v>
      </c>
      <c r="Y34" s="32">
        <v>96.233000000000004</v>
      </c>
    </row>
    <row r="35" spans="1:25" s="22" customFormat="1" ht="15" customHeight="1" x14ac:dyDescent="0.25">
      <c r="A35" s="21" t="s">
        <v>14</v>
      </c>
      <c r="B35" s="57" t="s">
        <v>45</v>
      </c>
      <c r="C35" s="60">
        <v>3</v>
      </c>
      <c r="D35" s="59">
        <v>2</v>
      </c>
      <c r="E35" s="48">
        <v>66.666700000000006</v>
      </c>
      <c r="F35" s="49">
        <v>1</v>
      </c>
      <c r="G35" s="48">
        <v>33.333300000000001</v>
      </c>
      <c r="H35" s="50">
        <v>0</v>
      </c>
      <c r="I35" s="48">
        <v>0</v>
      </c>
      <c r="J35" s="49">
        <v>0</v>
      </c>
      <c r="K35" s="48">
        <v>0</v>
      </c>
      <c r="L35" s="50">
        <v>0</v>
      </c>
      <c r="M35" s="48">
        <v>0</v>
      </c>
      <c r="N35" s="49">
        <v>0</v>
      </c>
      <c r="O35" s="48">
        <v>0</v>
      </c>
      <c r="P35" s="58">
        <v>0</v>
      </c>
      <c r="Q35" s="52">
        <v>0</v>
      </c>
      <c r="R35" s="49">
        <v>2</v>
      </c>
      <c r="S35" s="54">
        <v>66.667000000000002</v>
      </c>
      <c r="T35" s="59">
        <v>0</v>
      </c>
      <c r="U35" s="52">
        <v>0</v>
      </c>
      <c r="V35" s="59">
        <v>0</v>
      </c>
      <c r="W35" s="54">
        <v>0</v>
      </c>
      <c r="X35" s="55">
        <v>1055</v>
      </c>
      <c r="Y35" s="56">
        <v>100</v>
      </c>
    </row>
    <row r="36" spans="1:25" s="22" customFormat="1" ht="15" customHeight="1" x14ac:dyDescent="0.25">
      <c r="A36" s="21" t="s">
        <v>14</v>
      </c>
      <c r="B36" s="23" t="s">
        <v>49</v>
      </c>
      <c r="C36" s="36">
        <v>0</v>
      </c>
      <c r="D36" s="34">
        <v>0</v>
      </c>
      <c r="E36" s="26">
        <v>0</v>
      </c>
      <c r="F36" s="27">
        <v>0</v>
      </c>
      <c r="G36" s="26">
        <v>0</v>
      </c>
      <c r="H36" s="27">
        <v>0</v>
      </c>
      <c r="I36" s="26">
        <v>0</v>
      </c>
      <c r="J36" s="33">
        <v>0</v>
      </c>
      <c r="K36" s="26">
        <v>0</v>
      </c>
      <c r="L36" s="33">
        <v>0</v>
      </c>
      <c r="M36" s="26">
        <v>0</v>
      </c>
      <c r="N36" s="27">
        <v>0</v>
      </c>
      <c r="O36" s="26">
        <v>0</v>
      </c>
      <c r="P36" s="35">
        <v>0</v>
      </c>
      <c r="Q36" s="29">
        <v>0</v>
      </c>
      <c r="R36" s="27">
        <v>0</v>
      </c>
      <c r="S36" s="30">
        <v>0</v>
      </c>
      <c r="T36" s="34">
        <v>0</v>
      </c>
      <c r="U36" s="29">
        <v>0</v>
      </c>
      <c r="V36" s="25">
        <v>0</v>
      </c>
      <c r="W36" s="30">
        <v>0</v>
      </c>
      <c r="X36" s="31">
        <v>704</v>
      </c>
      <c r="Y36" s="32">
        <v>100</v>
      </c>
    </row>
    <row r="37" spans="1:25" s="22" customFormat="1" ht="15" customHeight="1" x14ac:dyDescent="0.25">
      <c r="A37" s="21" t="s">
        <v>14</v>
      </c>
      <c r="B37" s="57" t="s">
        <v>46</v>
      </c>
      <c r="C37" s="46">
        <v>2</v>
      </c>
      <c r="D37" s="47">
        <v>0</v>
      </c>
      <c r="E37" s="48">
        <v>0</v>
      </c>
      <c r="F37" s="49">
        <v>0</v>
      </c>
      <c r="G37" s="48">
        <v>0</v>
      </c>
      <c r="H37" s="49">
        <v>0</v>
      </c>
      <c r="I37" s="48">
        <v>0</v>
      </c>
      <c r="J37" s="49">
        <v>0</v>
      </c>
      <c r="K37" s="48">
        <v>0</v>
      </c>
      <c r="L37" s="49">
        <v>2</v>
      </c>
      <c r="M37" s="48">
        <v>100</v>
      </c>
      <c r="N37" s="50">
        <v>0</v>
      </c>
      <c r="O37" s="48">
        <v>0</v>
      </c>
      <c r="P37" s="58">
        <v>0</v>
      </c>
      <c r="Q37" s="52">
        <v>0</v>
      </c>
      <c r="R37" s="49">
        <v>2</v>
      </c>
      <c r="S37" s="54">
        <v>100</v>
      </c>
      <c r="T37" s="59">
        <v>0</v>
      </c>
      <c r="U37" s="52">
        <v>0</v>
      </c>
      <c r="V37" s="47">
        <v>0</v>
      </c>
      <c r="W37" s="54">
        <v>0</v>
      </c>
      <c r="X37" s="55">
        <v>491</v>
      </c>
      <c r="Y37" s="56">
        <v>100</v>
      </c>
    </row>
    <row r="38" spans="1:25" s="22" customFormat="1" ht="15" customHeight="1" x14ac:dyDescent="0.25">
      <c r="A38" s="21" t="s">
        <v>14</v>
      </c>
      <c r="B38" s="23" t="s">
        <v>47</v>
      </c>
      <c r="C38" s="24">
        <v>11</v>
      </c>
      <c r="D38" s="25">
        <v>0</v>
      </c>
      <c r="E38" s="26">
        <v>0</v>
      </c>
      <c r="F38" s="27">
        <v>1</v>
      </c>
      <c r="G38" s="26">
        <v>9.0908999999999995</v>
      </c>
      <c r="H38" s="27">
        <v>5</v>
      </c>
      <c r="I38" s="26">
        <v>45.454500000000003</v>
      </c>
      <c r="J38" s="27">
        <v>5</v>
      </c>
      <c r="K38" s="26">
        <v>45.454999999999998</v>
      </c>
      <c r="L38" s="27">
        <v>0</v>
      </c>
      <c r="M38" s="26">
        <v>0</v>
      </c>
      <c r="N38" s="27">
        <v>0</v>
      </c>
      <c r="O38" s="26">
        <v>0</v>
      </c>
      <c r="P38" s="28">
        <v>0</v>
      </c>
      <c r="Q38" s="29">
        <v>0</v>
      </c>
      <c r="R38" s="27">
        <v>7</v>
      </c>
      <c r="S38" s="30">
        <v>63.636000000000003</v>
      </c>
      <c r="T38" s="34">
        <v>1</v>
      </c>
      <c r="U38" s="29">
        <v>9.0908999999999995</v>
      </c>
      <c r="V38" s="25">
        <v>3</v>
      </c>
      <c r="W38" s="30">
        <v>27.2727</v>
      </c>
      <c r="X38" s="31">
        <v>2561</v>
      </c>
      <c r="Y38" s="32">
        <v>100</v>
      </c>
    </row>
    <row r="39" spans="1:25" s="22" customFormat="1" ht="15" customHeight="1" x14ac:dyDescent="0.25">
      <c r="A39" s="21" t="s">
        <v>14</v>
      </c>
      <c r="B39" s="57" t="s">
        <v>48</v>
      </c>
      <c r="C39" s="46">
        <v>0</v>
      </c>
      <c r="D39" s="59">
        <v>0</v>
      </c>
      <c r="E39" s="48">
        <v>0</v>
      </c>
      <c r="F39" s="49">
        <v>0</v>
      </c>
      <c r="G39" s="48">
        <v>0</v>
      </c>
      <c r="H39" s="50">
        <v>0</v>
      </c>
      <c r="I39" s="48">
        <v>0</v>
      </c>
      <c r="J39" s="49">
        <v>0</v>
      </c>
      <c r="K39" s="48">
        <v>0</v>
      </c>
      <c r="L39" s="50">
        <v>0</v>
      </c>
      <c r="M39" s="48">
        <v>0</v>
      </c>
      <c r="N39" s="49">
        <v>0</v>
      </c>
      <c r="O39" s="48">
        <v>0</v>
      </c>
      <c r="P39" s="58">
        <v>0</v>
      </c>
      <c r="Q39" s="52">
        <v>0</v>
      </c>
      <c r="R39" s="49">
        <v>0</v>
      </c>
      <c r="S39" s="54">
        <v>0</v>
      </c>
      <c r="T39" s="47">
        <v>0</v>
      </c>
      <c r="U39" s="52">
        <v>0</v>
      </c>
      <c r="V39" s="47">
        <v>0</v>
      </c>
      <c r="W39" s="54">
        <v>0</v>
      </c>
      <c r="X39" s="55">
        <v>866</v>
      </c>
      <c r="Y39" s="56">
        <v>100</v>
      </c>
    </row>
    <row r="40" spans="1:25" s="22" customFormat="1" ht="15" customHeight="1" x14ac:dyDescent="0.25">
      <c r="A40" s="21" t="s">
        <v>14</v>
      </c>
      <c r="B40" s="23" t="s">
        <v>50</v>
      </c>
      <c r="C40" s="36">
        <v>2</v>
      </c>
      <c r="D40" s="25">
        <v>0</v>
      </c>
      <c r="E40" s="26">
        <v>0</v>
      </c>
      <c r="F40" s="27">
        <v>0</v>
      </c>
      <c r="G40" s="26">
        <v>0</v>
      </c>
      <c r="H40" s="27">
        <v>0</v>
      </c>
      <c r="I40" s="26">
        <v>0</v>
      </c>
      <c r="J40" s="33">
        <v>1</v>
      </c>
      <c r="K40" s="26">
        <v>50</v>
      </c>
      <c r="L40" s="33">
        <v>1</v>
      </c>
      <c r="M40" s="26">
        <v>50</v>
      </c>
      <c r="N40" s="27">
        <v>0</v>
      </c>
      <c r="O40" s="26">
        <v>0</v>
      </c>
      <c r="P40" s="28">
        <v>0</v>
      </c>
      <c r="Q40" s="29">
        <v>0</v>
      </c>
      <c r="R40" s="27">
        <v>1</v>
      </c>
      <c r="S40" s="30">
        <v>50</v>
      </c>
      <c r="T40" s="34">
        <v>0</v>
      </c>
      <c r="U40" s="29">
        <v>0</v>
      </c>
      <c r="V40" s="25">
        <v>0</v>
      </c>
      <c r="W40" s="30">
        <v>0</v>
      </c>
      <c r="X40" s="31">
        <v>4873</v>
      </c>
      <c r="Y40" s="32">
        <v>100</v>
      </c>
    </row>
    <row r="41" spans="1:25" s="22" customFormat="1" ht="15" customHeight="1" x14ac:dyDescent="0.25">
      <c r="A41" s="21" t="s">
        <v>14</v>
      </c>
      <c r="B41" s="57" t="s">
        <v>43</v>
      </c>
      <c r="C41" s="46">
        <v>11</v>
      </c>
      <c r="D41" s="59">
        <v>0</v>
      </c>
      <c r="E41" s="48">
        <v>0</v>
      </c>
      <c r="F41" s="49">
        <v>0</v>
      </c>
      <c r="G41" s="48">
        <v>0</v>
      </c>
      <c r="H41" s="49">
        <v>1</v>
      </c>
      <c r="I41" s="48">
        <v>9.0908999999999995</v>
      </c>
      <c r="J41" s="49">
        <v>10</v>
      </c>
      <c r="K41" s="48">
        <v>90.909000000000006</v>
      </c>
      <c r="L41" s="50">
        <v>0</v>
      </c>
      <c r="M41" s="48">
        <v>0</v>
      </c>
      <c r="N41" s="50">
        <v>0</v>
      </c>
      <c r="O41" s="48">
        <v>0</v>
      </c>
      <c r="P41" s="51">
        <v>0</v>
      </c>
      <c r="Q41" s="52">
        <v>0</v>
      </c>
      <c r="R41" s="49">
        <v>2</v>
      </c>
      <c r="S41" s="54">
        <v>18.181999999999999</v>
      </c>
      <c r="T41" s="47">
        <v>0</v>
      </c>
      <c r="U41" s="52">
        <v>0</v>
      </c>
      <c r="V41" s="59">
        <v>0</v>
      </c>
      <c r="W41" s="54">
        <v>0</v>
      </c>
      <c r="X41" s="55">
        <v>2661</v>
      </c>
      <c r="Y41" s="56">
        <v>100</v>
      </c>
    </row>
    <row r="42" spans="1:25" s="22" customFormat="1" ht="15" customHeight="1" x14ac:dyDescent="0.25">
      <c r="A42" s="21" t="s">
        <v>14</v>
      </c>
      <c r="B42" s="23" t="s">
        <v>44</v>
      </c>
      <c r="C42" s="36">
        <v>1</v>
      </c>
      <c r="D42" s="25">
        <v>0</v>
      </c>
      <c r="E42" s="26">
        <v>0</v>
      </c>
      <c r="F42" s="27">
        <v>0</v>
      </c>
      <c r="G42" s="26">
        <v>0</v>
      </c>
      <c r="H42" s="27">
        <v>0</v>
      </c>
      <c r="I42" s="26">
        <v>0</v>
      </c>
      <c r="J42" s="33">
        <v>0</v>
      </c>
      <c r="K42" s="26">
        <v>0</v>
      </c>
      <c r="L42" s="33">
        <v>1</v>
      </c>
      <c r="M42" s="26">
        <v>100</v>
      </c>
      <c r="N42" s="33">
        <v>0</v>
      </c>
      <c r="O42" s="26">
        <v>0</v>
      </c>
      <c r="P42" s="28">
        <v>0</v>
      </c>
      <c r="Q42" s="29">
        <v>0</v>
      </c>
      <c r="R42" s="27">
        <v>0</v>
      </c>
      <c r="S42" s="30">
        <v>0</v>
      </c>
      <c r="T42" s="34">
        <v>0</v>
      </c>
      <c r="U42" s="29">
        <v>0</v>
      </c>
      <c r="V42" s="25">
        <v>0</v>
      </c>
      <c r="W42" s="30">
        <v>0</v>
      </c>
      <c r="X42" s="31">
        <v>483</v>
      </c>
      <c r="Y42" s="32">
        <v>100</v>
      </c>
    </row>
    <row r="43" spans="1:25" s="22" customFormat="1" ht="15" customHeight="1" x14ac:dyDescent="0.25">
      <c r="A43" s="21" t="s">
        <v>14</v>
      </c>
      <c r="B43" s="57" t="s">
        <v>51</v>
      </c>
      <c r="C43" s="46">
        <v>21</v>
      </c>
      <c r="D43" s="47">
        <v>0</v>
      </c>
      <c r="E43" s="48">
        <v>0</v>
      </c>
      <c r="F43" s="49">
        <v>0</v>
      </c>
      <c r="G43" s="48">
        <v>0</v>
      </c>
      <c r="H43" s="50">
        <v>0</v>
      </c>
      <c r="I43" s="48">
        <v>0</v>
      </c>
      <c r="J43" s="49">
        <v>13</v>
      </c>
      <c r="K43" s="48">
        <v>61.905000000000001</v>
      </c>
      <c r="L43" s="49">
        <v>6</v>
      </c>
      <c r="M43" s="48">
        <v>28.571000000000002</v>
      </c>
      <c r="N43" s="49">
        <v>0</v>
      </c>
      <c r="O43" s="48">
        <v>0</v>
      </c>
      <c r="P43" s="51">
        <v>2</v>
      </c>
      <c r="Q43" s="52">
        <v>9.5237999999999996</v>
      </c>
      <c r="R43" s="49">
        <v>7</v>
      </c>
      <c r="S43" s="54">
        <v>33.332999999999998</v>
      </c>
      <c r="T43" s="59">
        <v>0</v>
      </c>
      <c r="U43" s="52">
        <v>0</v>
      </c>
      <c r="V43" s="59">
        <v>0</v>
      </c>
      <c r="W43" s="54">
        <v>0</v>
      </c>
      <c r="X43" s="55">
        <v>3593</v>
      </c>
      <c r="Y43" s="56">
        <v>100</v>
      </c>
    </row>
    <row r="44" spans="1:25" s="22" customFormat="1" ht="15" customHeight="1" x14ac:dyDescent="0.25">
      <c r="A44" s="21" t="s">
        <v>14</v>
      </c>
      <c r="B44" s="23" t="s">
        <v>52</v>
      </c>
      <c r="C44" s="24">
        <v>31</v>
      </c>
      <c r="D44" s="25">
        <v>3</v>
      </c>
      <c r="E44" s="26">
        <v>9.6774000000000004</v>
      </c>
      <c r="F44" s="33">
        <v>0</v>
      </c>
      <c r="G44" s="26">
        <v>0</v>
      </c>
      <c r="H44" s="27">
        <v>4</v>
      </c>
      <c r="I44" s="26">
        <v>12.9032</v>
      </c>
      <c r="J44" s="27">
        <v>14</v>
      </c>
      <c r="K44" s="26">
        <v>45.161000000000001</v>
      </c>
      <c r="L44" s="27">
        <v>8</v>
      </c>
      <c r="M44" s="26">
        <v>25.806000000000001</v>
      </c>
      <c r="N44" s="33">
        <v>0</v>
      </c>
      <c r="O44" s="26">
        <v>0</v>
      </c>
      <c r="P44" s="35">
        <v>2</v>
      </c>
      <c r="Q44" s="29">
        <v>6.4516</v>
      </c>
      <c r="R44" s="27">
        <v>10</v>
      </c>
      <c r="S44" s="30">
        <v>32.258000000000003</v>
      </c>
      <c r="T44" s="34">
        <v>1</v>
      </c>
      <c r="U44" s="29">
        <v>3.2258</v>
      </c>
      <c r="V44" s="34">
        <v>0</v>
      </c>
      <c r="W44" s="30">
        <v>0</v>
      </c>
      <c r="X44" s="31">
        <v>1816</v>
      </c>
      <c r="Y44" s="32">
        <v>100</v>
      </c>
    </row>
    <row r="45" spans="1:25" s="22" customFormat="1" ht="15" customHeight="1" x14ac:dyDescent="0.25">
      <c r="A45" s="21" t="s">
        <v>14</v>
      </c>
      <c r="B45" s="57" t="s">
        <v>53</v>
      </c>
      <c r="C45" s="46">
        <v>8</v>
      </c>
      <c r="D45" s="59">
        <v>0</v>
      </c>
      <c r="E45" s="48">
        <v>0</v>
      </c>
      <c r="F45" s="49">
        <v>0</v>
      </c>
      <c r="G45" s="48">
        <v>0</v>
      </c>
      <c r="H45" s="50">
        <v>2</v>
      </c>
      <c r="I45" s="48">
        <v>25</v>
      </c>
      <c r="J45" s="49">
        <v>0</v>
      </c>
      <c r="K45" s="48">
        <v>0</v>
      </c>
      <c r="L45" s="50">
        <v>5</v>
      </c>
      <c r="M45" s="48">
        <v>62.5</v>
      </c>
      <c r="N45" s="49">
        <v>0</v>
      </c>
      <c r="O45" s="48">
        <v>0</v>
      </c>
      <c r="P45" s="51">
        <v>1</v>
      </c>
      <c r="Q45" s="52">
        <v>12.5</v>
      </c>
      <c r="R45" s="49">
        <v>4</v>
      </c>
      <c r="S45" s="54">
        <v>50</v>
      </c>
      <c r="T45" s="47">
        <v>0</v>
      </c>
      <c r="U45" s="52">
        <v>0</v>
      </c>
      <c r="V45" s="59">
        <v>0</v>
      </c>
      <c r="W45" s="54">
        <v>0</v>
      </c>
      <c r="X45" s="55">
        <v>1289</v>
      </c>
      <c r="Y45" s="56">
        <v>100</v>
      </c>
    </row>
    <row r="46" spans="1:25" s="22" customFormat="1" ht="15" customHeight="1" x14ac:dyDescent="0.25">
      <c r="A46" s="21" t="s">
        <v>14</v>
      </c>
      <c r="B46" s="23" t="s">
        <v>54</v>
      </c>
      <c r="C46" s="24">
        <v>5</v>
      </c>
      <c r="D46" s="25">
        <v>0</v>
      </c>
      <c r="E46" s="26">
        <v>0</v>
      </c>
      <c r="F46" s="27">
        <v>0</v>
      </c>
      <c r="G46" s="26">
        <v>0</v>
      </c>
      <c r="H46" s="27">
        <v>1</v>
      </c>
      <c r="I46" s="26">
        <v>20</v>
      </c>
      <c r="J46" s="27">
        <v>3</v>
      </c>
      <c r="K46" s="26">
        <v>60</v>
      </c>
      <c r="L46" s="33">
        <v>1</v>
      </c>
      <c r="M46" s="26">
        <v>20</v>
      </c>
      <c r="N46" s="33">
        <v>0</v>
      </c>
      <c r="O46" s="26">
        <v>0</v>
      </c>
      <c r="P46" s="35">
        <v>0</v>
      </c>
      <c r="Q46" s="29">
        <v>0</v>
      </c>
      <c r="R46" s="27">
        <v>3</v>
      </c>
      <c r="S46" s="30">
        <v>60</v>
      </c>
      <c r="T46" s="25">
        <v>0</v>
      </c>
      <c r="U46" s="29">
        <v>0</v>
      </c>
      <c r="V46" s="25">
        <v>0</v>
      </c>
      <c r="W46" s="30">
        <v>0</v>
      </c>
      <c r="X46" s="31">
        <v>3006</v>
      </c>
      <c r="Y46" s="32">
        <v>92.781000000000006</v>
      </c>
    </row>
    <row r="47" spans="1:25" s="22" customFormat="1" ht="15" customHeight="1" x14ac:dyDescent="0.25">
      <c r="A47" s="21" t="s">
        <v>14</v>
      </c>
      <c r="B47" s="57" t="s">
        <v>55</v>
      </c>
      <c r="C47" s="60">
        <v>8</v>
      </c>
      <c r="D47" s="47">
        <v>0</v>
      </c>
      <c r="E47" s="48">
        <v>0</v>
      </c>
      <c r="F47" s="50">
        <v>0</v>
      </c>
      <c r="G47" s="48">
        <v>0</v>
      </c>
      <c r="H47" s="50">
        <v>5</v>
      </c>
      <c r="I47" s="48">
        <v>62.5</v>
      </c>
      <c r="J47" s="50">
        <v>3</v>
      </c>
      <c r="K47" s="48">
        <v>37.5</v>
      </c>
      <c r="L47" s="50">
        <v>0</v>
      </c>
      <c r="M47" s="48">
        <v>0</v>
      </c>
      <c r="N47" s="49">
        <v>0</v>
      </c>
      <c r="O47" s="48">
        <v>0</v>
      </c>
      <c r="P47" s="51">
        <v>0</v>
      </c>
      <c r="Q47" s="52">
        <v>0</v>
      </c>
      <c r="R47" s="49">
        <v>1</v>
      </c>
      <c r="S47" s="54">
        <v>12.5</v>
      </c>
      <c r="T47" s="59">
        <v>0</v>
      </c>
      <c r="U47" s="52">
        <v>0</v>
      </c>
      <c r="V47" s="47">
        <v>1</v>
      </c>
      <c r="W47" s="54">
        <v>12.5</v>
      </c>
      <c r="X47" s="55">
        <v>312</v>
      </c>
      <c r="Y47" s="56">
        <v>100</v>
      </c>
    </row>
    <row r="48" spans="1:25" s="22" customFormat="1" ht="15" customHeight="1" x14ac:dyDescent="0.25">
      <c r="A48" s="21" t="s">
        <v>14</v>
      </c>
      <c r="B48" s="23" t="s">
        <v>56</v>
      </c>
      <c r="C48" s="24">
        <v>8</v>
      </c>
      <c r="D48" s="34">
        <v>0</v>
      </c>
      <c r="E48" s="26">
        <v>0</v>
      </c>
      <c r="F48" s="27">
        <v>0</v>
      </c>
      <c r="G48" s="26">
        <v>0</v>
      </c>
      <c r="H48" s="33">
        <v>0</v>
      </c>
      <c r="I48" s="26">
        <v>0</v>
      </c>
      <c r="J48" s="27">
        <v>5</v>
      </c>
      <c r="K48" s="26">
        <v>62.5</v>
      </c>
      <c r="L48" s="27">
        <v>3</v>
      </c>
      <c r="M48" s="26">
        <v>37.5</v>
      </c>
      <c r="N48" s="33">
        <v>0</v>
      </c>
      <c r="O48" s="26">
        <v>0</v>
      </c>
      <c r="P48" s="35">
        <v>0</v>
      </c>
      <c r="Q48" s="29">
        <v>0</v>
      </c>
      <c r="R48" s="27">
        <v>4</v>
      </c>
      <c r="S48" s="30">
        <v>50</v>
      </c>
      <c r="T48" s="34">
        <v>0</v>
      </c>
      <c r="U48" s="29">
        <v>0</v>
      </c>
      <c r="V48" s="34">
        <v>0</v>
      </c>
      <c r="W48" s="30">
        <v>0</v>
      </c>
      <c r="X48" s="31">
        <v>1243</v>
      </c>
      <c r="Y48" s="32">
        <v>100</v>
      </c>
    </row>
    <row r="49" spans="1:25" s="22" customFormat="1" ht="15" customHeight="1" x14ac:dyDescent="0.25">
      <c r="A49" s="21" t="s">
        <v>14</v>
      </c>
      <c r="B49" s="57" t="s">
        <v>57</v>
      </c>
      <c r="C49" s="60">
        <v>0</v>
      </c>
      <c r="D49" s="47">
        <v>0</v>
      </c>
      <c r="E49" s="48">
        <v>0</v>
      </c>
      <c r="F49" s="49">
        <v>0</v>
      </c>
      <c r="G49" s="48">
        <v>0</v>
      </c>
      <c r="H49" s="49">
        <v>0</v>
      </c>
      <c r="I49" s="48">
        <v>0</v>
      </c>
      <c r="J49" s="49">
        <v>0</v>
      </c>
      <c r="K49" s="48">
        <v>0</v>
      </c>
      <c r="L49" s="50">
        <v>0</v>
      </c>
      <c r="M49" s="48">
        <v>0</v>
      </c>
      <c r="N49" s="50">
        <v>0</v>
      </c>
      <c r="O49" s="48">
        <v>0</v>
      </c>
      <c r="P49" s="51">
        <v>0</v>
      </c>
      <c r="Q49" s="52">
        <v>0</v>
      </c>
      <c r="R49" s="49">
        <v>0</v>
      </c>
      <c r="S49" s="54">
        <v>0</v>
      </c>
      <c r="T49" s="59">
        <v>0</v>
      </c>
      <c r="U49" s="52">
        <v>0</v>
      </c>
      <c r="V49" s="59">
        <v>0</v>
      </c>
      <c r="W49" s="54">
        <v>0</v>
      </c>
      <c r="X49" s="55">
        <v>698</v>
      </c>
      <c r="Y49" s="56">
        <v>100</v>
      </c>
    </row>
    <row r="50" spans="1:25" s="22" customFormat="1" ht="15" customHeight="1" x14ac:dyDescent="0.25">
      <c r="A50" s="21" t="s">
        <v>14</v>
      </c>
      <c r="B50" s="23" t="s">
        <v>58</v>
      </c>
      <c r="C50" s="24">
        <v>8</v>
      </c>
      <c r="D50" s="25">
        <v>0</v>
      </c>
      <c r="E50" s="26">
        <v>0</v>
      </c>
      <c r="F50" s="27">
        <v>0</v>
      </c>
      <c r="G50" s="26">
        <v>0</v>
      </c>
      <c r="H50" s="33">
        <v>0</v>
      </c>
      <c r="I50" s="26">
        <v>0</v>
      </c>
      <c r="J50" s="27">
        <v>3</v>
      </c>
      <c r="K50" s="26">
        <v>37.5</v>
      </c>
      <c r="L50" s="27">
        <v>5</v>
      </c>
      <c r="M50" s="26">
        <v>62.5</v>
      </c>
      <c r="N50" s="33">
        <v>0</v>
      </c>
      <c r="O50" s="26">
        <v>0</v>
      </c>
      <c r="P50" s="35">
        <v>0</v>
      </c>
      <c r="Q50" s="29">
        <v>0</v>
      </c>
      <c r="R50" s="27">
        <v>0</v>
      </c>
      <c r="S50" s="30">
        <v>0</v>
      </c>
      <c r="T50" s="25">
        <v>0</v>
      </c>
      <c r="U50" s="29">
        <v>0</v>
      </c>
      <c r="V50" s="25">
        <v>0</v>
      </c>
      <c r="W50" s="30">
        <v>0</v>
      </c>
      <c r="X50" s="31">
        <v>1777</v>
      </c>
      <c r="Y50" s="32">
        <v>100</v>
      </c>
    </row>
    <row r="51" spans="1:25" s="22" customFormat="1" ht="15" customHeight="1" x14ac:dyDescent="0.25">
      <c r="A51" s="21" t="s">
        <v>14</v>
      </c>
      <c r="B51" s="57" t="s">
        <v>59</v>
      </c>
      <c r="C51" s="46">
        <v>448</v>
      </c>
      <c r="D51" s="47">
        <v>0</v>
      </c>
      <c r="E51" s="48">
        <v>0</v>
      </c>
      <c r="F51" s="50">
        <v>4</v>
      </c>
      <c r="G51" s="48">
        <v>0.89290000000000003</v>
      </c>
      <c r="H51" s="49">
        <v>249</v>
      </c>
      <c r="I51" s="48">
        <v>55.580399999999997</v>
      </c>
      <c r="J51" s="49">
        <v>124</v>
      </c>
      <c r="K51" s="48">
        <v>27.678999999999998</v>
      </c>
      <c r="L51" s="49">
        <v>65</v>
      </c>
      <c r="M51" s="48">
        <v>14.509</v>
      </c>
      <c r="N51" s="50">
        <v>1</v>
      </c>
      <c r="O51" s="48">
        <v>0.22320999999999999</v>
      </c>
      <c r="P51" s="51">
        <v>5</v>
      </c>
      <c r="Q51" s="52">
        <v>1.1161000000000001</v>
      </c>
      <c r="R51" s="49">
        <v>98</v>
      </c>
      <c r="S51" s="54">
        <v>21.875</v>
      </c>
      <c r="T51" s="47">
        <v>27</v>
      </c>
      <c r="U51" s="52">
        <v>6.0267999999999997</v>
      </c>
      <c r="V51" s="47">
        <v>47</v>
      </c>
      <c r="W51" s="54">
        <v>10.491099999999999</v>
      </c>
      <c r="X51" s="55">
        <v>8758</v>
      </c>
      <c r="Y51" s="56">
        <v>100</v>
      </c>
    </row>
    <row r="52" spans="1:25" s="22" customFormat="1" ht="15" customHeight="1" x14ac:dyDescent="0.25">
      <c r="A52" s="21" t="s">
        <v>14</v>
      </c>
      <c r="B52" s="23" t="s">
        <v>60</v>
      </c>
      <c r="C52" s="24">
        <v>4</v>
      </c>
      <c r="D52" s="34">
        <v>0</v>
      </c>
      <c r="E52" s="26">
        <v>0</v>
      </c>
      <c r="F52" s="27">
        <v>0</v>
      </c>
      <c r="G52" s="26">
        <v>0</v>
      </c>
      <c r="H52" s="33">
        <v>1</v>
      </c>
      <c r="I52" s="26">
        <v>25</v>
      </c>
      <c r="J52" s="33">
        <v>0</v>
      </c>
      <c r="K52" s="26">
        <v>0</v>
      </c>
      <c r="L52" s="27">
        <v>3</v>
      </c>
      <c r="M52" s="26">
        <v>75</v>
      </c>
      <c r="N52" s="33">
        <v>0</v>
      </c>
      <c r="O52" s="26">
        <v>0</v>
      </c>
      <c r="P52" s="28">
        <v>0</v>
      </c>
      <c r="Q52" s="29">
        <v>0</v>
      </c>
      <c r="R52" s="27">
        <v>4</v>
      </c>
      <c r="S52" s="30">
        <v>100</v>
      </c>
      <c r="T52" s="25">
        <v>0</v>
      </c>
      <c r="U52" s="29">
        <v>0</v>
      </c>
      <c r="V52" s="25">
        <v>0</v>
      </c>
      <c r="W52" s="30">
        <v>0</v>
      </c>
      <c r="X52" s="31">
        <v>1029</v>
      </c>
      <c r="Y52" s="32">
        <v>100</v>
      </c>
    </row>
    <row r="53" spans="1:25" s="22" customFormat="1" ht="15" customHeight="1" x14ac:dyDescent="0.25">
      <c r="A53" s="21" t="s">
        <v>14</v>
      </c>
      <c r="B53" s="57" t="s">
        <v>61</v>
      </c>
      <c r="C53" s="60">
        <v>3</v>
      </c>
      <c r="D53" s="59">
        <v>0</v>
      </c>
      <c r="E53" s="48">
        <v>0</v>
      </c>
      <c r="F53" s="49">
        <v>0</v>
      </c>
      <c r="G53" s="48">
        <v>0</v>
      </c>
      <c r="H53" s="50">
        <v>0</v>
      </c>
      <c r="I53" s="48">
        <v>0</v>
      </c>
      <c r="J53" s="49">
        <v>0</v>
      </c>
      <c r="K53" s="48">
        <v>0</v>
      </c>
      <c r="L53" s="50">
        <v>3</v>
      </c>
      <c r="M53" s="48">
        <v>100</v>
      </c>
      <c r="N53" s="50">
        <v>0</v>
      </c>
      <c r="O53" s="48">
        <v>0</v>
      </c>
      <c r="P53" s="51">
        <v>0</v>
      </c>
      <c r="Q53" s="52">
        <v>0</v>
      </c>
      <c r="R53" s="49">
        <v>3</v>
      </c>
      <c r="S53" s="54">
        <v>100</v>
      </c>
      <c r="T53" s="59">
        <v>0</v>
      </c>
      <c r="U53" s="52">
        <v>0</v>
      </c>
      <c r="V53" s="47">
        <v>0</v>
      </c>
      <c r="W53" s="54">
        <v>0</v>
      </c>
      <c r="X53" s="55">
        <v>302</v>
      </c>
      <c r="Y53" s="56">
        <v>100</v>
      </c>
    </row>
    <row r="54" spans="1:25" s="22" customFormat="1" ht="15" customHeight="1" x14ac:dyDescent="0.25">
      <c r="A54" s="21" t="s">
        <v>14</v>
      </c>
      <c r="B54" s="23" t="s">
        <v>62</v>
      </c>
      <c r="C54" s="24">
        <v>24</v>
      </c>
      <c r="D54" s="34">
        <v>0</v>
      </c>
      <c r="E54" s="26">
        <v>0</v>
      </c>
      <c r="F54" s="27">
        <v>0</v>
      </c>
      <c r="G54" s="37">
        <v>0</v>
      </c>
      <c r="H54" s="33">
        <v>0</v>
      </c>
      <c r="I54" s="37">
        <v>0</v>
      </c>
      <c r="J54" s="27">
        <v>18</v>
      </c>
      <c r="K54" s="26">
        <v>75</v>
      </c>
      <c r="L54" s="27">
        <v>3</v>
      </c>
      <c r="M54" s="26">
        <v>12.5</v>
      </c>
      <c r="N54" s="27">
        <v>0</v>
      </c>
      <c r="O54" s="26">
        <v>0</v>
      </c>
      <c r="P54" s="35">
        <v>3</v>
      </c>
      <c r="Q54" s="29">
        <v>12.5</v>
      </c>
      <c r="R54" s="27">
        <v>5</v>
      </c>
      <c r="S54" s="30">
        <v>20.832999999999998</v>
      </c>
      <c r="T54" s="25">
        <v>1</v>
      </c>
      <c r="U54" s="29">
        <v>4.1666999999999996</v>
      </c>
      <c r="V54" s="34">
        <v>0</v>
      </c>
      <c r="W54" s="30">
        <v>0</v>
      </c>
      <c r="X54" s="31">
        <v>1982</v>
      </c>
      <c r="Y54" s="32">
        <v>98.385000000000005</v>
      </c>
    </row>
    <row r="55" spans="1:25" s="22" customFormat="1" ht="15" customHeight="1" x14ac:dyDescent="0.25">
      <c r="A55" s="21" t="s">
        <v>14</v>
      </c>
      <c r="B55" s="57" t="s">
        <v>63</v>
      </c>
      <c r="C55" s="46">
        <v>6</v>
      </c>
      <c r="D55" s="47">
        <v>1</v>
      </c>
      <c r="E55" s="48">
        <v>16.666699999999999</v>
      </c>
      <c r="F55" s="49">
        <v>0</v>
      </c>
      <c r="G55" s="48">
        <v>0</v>
      </c>
      <c r="H55" s="50">
        <v>2</v>
      </c>
      <c r="I55" s="48">
        <v>33.333300000000001</v>
      </c>
      <c r="J55" s="50">
        <v>0</v>
      </c>
      <c r="K55" s="48">
        <v>0</v>
      </c>
      <c r="L55" s="49">
        <v>3</v>
      </c>
      <c r="M55" s="48">
        <v>50</v>
      </c>
      <c r="N55" s="49">
        <v>0</v>
      </c>
      <c r="O55" s="48">
        <v>0</v>
      </c>
      <c r="P55" s="58">
        <v>0</v>
      </c>
      <c r="Q55" s="52">
        <v>0</v>
      </c>
      <c r="R55" s="49">
        <v>4</v>
      </c>
      <c r="S55" s="54">
        <v>66.667000000000002</v>
      </c>
      <c r="T55" s="47">
        <v>0</v>
      </c>
      <c r="U55" s="52">
        <v>0</v>
      </c>
      <c r="V55" s="59">
        <v>2</v>
      </c>
      <c r="W55" s="54">
        <v>33.333300000000001</v>
      </c>
      <c r="X55" s="55">
        <v>2339</v>
      </c>
      <c r="Y55" s="56">
        <v>100</v>
      </c>
    </row>
    <row r="56" spans="1:25" s="22" customFormat="1" ht="15" customHeight="1" x14ac:dyDescent="0.25">
      <c r="A56" s="21" t="s">
        <v>14</v>
      </c>
      <c r="B56" s="23" t="s">
        <v>64</v>
      </c>
      <c r="C56" s="24">
        <v>3</v>
      </c>
      <c r="D56" s="25">
        <v>0</v>
      </c>
      <c r="E56" s="26">
        <v>0</v>
      </c>
      <c r="F56" s="27">
        <v>0</v>
      </c>
      <c r="G56" s="26">
        <v>0</v>
      </c>
      <c r="H56" s="27">
        <v>0</v>
      </c>
      <c r="I56" s="26">
        <v>0</v>
      </c>
      <c r="J56" s="33">
        <v>1</v>
      </c>
      <c r="K56" s="26">
        <v>33.332999999999998</v>
      </c>
      <c r="L56" s="27">
        <v>2</v>
      </c>
      <c r="M56" s="26">
        <v>66.667000000000002</v>
      </c>
      <c r="N56" s="33">
        <v>0</v>
      </c>
      <c r="O56" s="26">
        <v>0</v>
      </c>
      <c r="P56" s="28">
        <v>0</v>
      </c>
      <c r="Q56" s="29">
        <v>0</v>
      </c>
      <c r="R56" s="27">
        <v>1</v>
      </c>
      <c r="S56" s="30">
        <v>33.332999999999998</v>
      </c>
      <c r="T56" s="34">
        <v>0</v>
      </c>
      <c r="U56" s="29">
        <v>0</v>
      </c>
      <c r="V56" s="34">
        <v>0</v>
      </c>
      <c r="W56" s="30">
        <v>0</v>
      </c>
      <c r="X56" s="31">
        <v>691</v>
      </c>
      <c r="Y56" s="32">
        <v>100</v>
      </c>
    </row>
    <row r="57" spans="1:25" s="22" customFormat="1" ht="15" customHeight="1" x14ac:dyDescent="0.25">
      <c r="A57" s="21" t="s">
        <v>14</v>
      </c>
      <c r="B57" s="57" t="s">
        <v>65</v>
      </c>
      <c r="C57" s="46">
        <v>12</v>
      </c>
      <c r="D57" s="47">
        <v>0</v>
      </c>
      <c r="E57" s="48">
        <v>0</v>
      </c>
      <c r="F57" s="50">
        <v>0</v>
      </c>
      <c r="G57" s="48">
        <v>0</v>
      </c>
      <c r="H57" s="49">
        <v>0</v>
      </c>
      <c r="I57" s="48">
        <v>0</v>
      </c>
      <c r="J57" s="49">
        <v>9</v>
      </c>
      <c r="K57" s="48">
        <v>75</v>
      </c>
      <c r="L57" s="49">
        <v>3</v>
      </c>
      <c r="M57" s="48">
        <v>25</v>
      </c>
      <c r="N57" s="49">
        <v>0</v>
      </c>
      <c r="O57" s="48">
        <v>0</v>
      </c>
      <c r="P57" s="58">
        <v>0</v>
      </c>
      <c r="Q57" s="52">
        <v>0</v>
      </c>
      <c r="R57" s="49">
        <v>4</v>
      </c>
      <c r="S57" s="54">
        <v>33.332999999999998</v>
      </c>
      <c r="T57" s="59">
        <v>0</v>
      </c>
      <c r="U57" s="52">
        <v>0</v>
      </c>
      <c r="V57" s="59">
        <v>0</v>
      </c>
      <c r="W57" s="54">
        <v>0</v>
      </c>
      <c r="X57" s="55">
        <v>2235</v>
      </c>
      <c r="Y57" s="56">
        <v>99.954999999999998</v>
      </c>
    </row>
    <row r="58" spans="1:25" s="22" customFormat="1" ht="15" customHeight="1" x14ac:dyDescent="0.25">
      <c r="A58" s="21" t="s">
        <v>14</v>
      </c>
      <c r="B58" s="23" t="s">
        <v>66</v>
      </c>
      <c r="C58" s="36">
        <v>1</v>
      </c>
      <c r="D58" s="34">
        <v>0</v>
      </c>
      <c r="E58" s="26">
        <v>0</v>
      </c>
      <c r="F58" s="27">
        <v>0</v>
      </c>
      <c r="G58" s="26">
        <v>0</v>
      </c>
      <c r="H58" s="33">
        <v>0</v>
      </c>
      <c r="I58" s="26">
        <v>0</v>
      </c>
      <c r="J58" s="27">
        <v>0</v>
      </c>
      <c r="K58" s="26">
        <v>0</v>
      </c>
      <c r="L58" s="27">
        <v>1</v>
      </c>
      <c r="M58" s="26">
        <v>100</v>
      </c>
      <c r="N58" s="27">
        <v>0</v>
      </c>
      <c r="O58" s="26">
        <v>0</v>
      </c>
      <c r="P58" s="35">
        <v>0</v>
      </c>
      <c r="Q58" s="29">
        <v>0</v>
      </c>
      <c r="R58" s="27">
        <v>1</v>
      </c>
      <c r="S58" s="30">
        <v>100</v>
      </c>
      <c r="T58" s="25">
        <v>0</v>
      </c>
      <c r="U58" s="29">
        <v>0</v>
      </c>
      <c r="V58" s="25">
        <v>0</v>
      </c>
      <c r="W58" s="30">
        <v>0</v>
      </c>
      <c r="X58" s="31">
        <v>366</v>
      </c>
      <c r="Y58" s="32">
        <v>100</v>
      </c>
    </row>
    <row r="59" spans="1:25" s="22" customFormat="1" ht="15" customHeight="1" thickBot="1" x14ac:dyDescent="0.3">
      <c r="A59" s="21" t="s">
        <v>14</v>
      </c>
      <c r="B59" s="66" t="s">
        <v>70</v>
      </c>
      <c r="C59" s="67">
        <v>0</v>
      </c>
      <c r="D59" s="68">
        <v>0</v>
      </c>
      <c r="E59" s="69">
        <v>0</v>
      </c>
      <c r="F59" s="70">
        <v>0</v>
      </c>
      <c r="G59" s="69">
        <v>0</v>
      </c>
      <c r="H59" s="71">
        <v>0</v>
      </c>
      <c r="I59" s="69">
        <v>0</v>
      </c>
      <c r="J59" s="70">
        <v>0</v>
      </c>
      <c r="K59" s="69">
        <v>0</v>
      </c>
      <c r="L59" s="70">
        <v>0</v>
      </c>
      <c r="M59" s="69">
        <v>0</v>
      </c>
      <c r="N59" s="70">
        <v>0</v>
      </c>
      <c r="O59" s="69">
        <v>0</v>
      </c>
      <c r="P59" s="72">
        <v>0</v>
      </c>
      <c r="Q59" s="73">
        <v>0</v>
      </c>
      <c r="R59" s="70">
        <v>0</v>
      </c>
      <c r="S59" s="74">
        <v>0</v>
      </c>
      <c r="T59" s="75">
        <v>0</v>
      </c>
      <c r="U59" s="73">
        <v>0</v>
      </c>
      <c r="V59" s="75">
        <v>0</v>
      </c>
      <c r="W59" s="74">
        <v>0</v>
      </c>
      <c r="X59" s="76">
        <v>1099</v>
      </c>
      <c r="Y59" s="77">
        <v>100</v>
      </c>
    </row>
    <row r="60" spans="1:25" s="22" customFormat="1" ht="15" customHeight="1" x14ac:dyDescent="0.25">
      <c r="A60" s="21"/>
      <c r="B60" s="23"/>
      <c r="C60" s="33"/>
      <c r="D60" s="33"/>
      <c r="E60" s="30"/>
      <c r="F60" s="27"/>
      <c r="G60" s="30"/>
      <c r="H60" s="33"/>
      <c r="I60" s="30"/>
      <c r="J60" s="27"/>
      <c r="K60" s="30"/>
      <c r="L60" s="27"/>
      <c r="M60" s="30"/>
      <c r="N60" s="27"/>
      <c r="O60" s="30"/>
      <c r="P60" s="33"/>
      <c r="Q60" s="30"/>
      <c r="R60" s="30"/>
      <c r="S60" s="30"/>
      <c r="T60" s="27"/>
      <c r="U60" s="30"/>
      <c r="V60" s="27"/>
      <c r="W60" s="30"/>
      <c r="X60" s="63"/>
      <c r="Y60" s="64"/>
    </row>
    <row r="61" spans="1:25" s="39" customFormat="1" ht="14.15" customHeight="1" x14ac:dyDescent="0.25">
      <c r="B61" s="42" t="s">
        <v>75</v>
      </c>
      <c r="C61" s="62"/>
      <c r="D61" s="62"/>
      <c r="E61" s="62"/>
      <c r="F61" s="62"/>
      <c r="G61" s="62"/>
      <c r="H61" s="62"/>
      <c r="I61" s="62"/>
      <c r="J61" s="62"/>
      <c r="K61" s="62"/>
      <c r="L61" s="62"/>
      <c r="M61" s="62"/>
      <c r="N61" s="62"/>
      <c r="O61" s="62"/>
      <c r="P61" s="62"/>
      <c r="Q61" s="62"/>
      <c r="R61" s="62"/>
      <c r="S61" s="62"/>
      <c r="T61" s="62"/>
      <c r="U61" s="62"/>
      <c r="V61" s="62"/>
      <c r="W61" s="62"/>
      <c r="X61" s="62"/>
      <c r="Y61" s="62"/>
    </row>
    <row r="62" spans="1:25" s="39" customFormat="1" ht="15" customHeight="1" x14ac:dyDescent="0.25">
      <c r="A62" s="41"/>
      <c r="B62" s="42" t="str">
        <f>CONCATENATE("NOTE: Table reads (for 50 states, District of Columbia, and Puerto Rico totals):  Of all ",IF(ISTEXT(C7),LEFT(C7,3),TEXT(C7,"#,##0"))," public school female students ", A7, ", ", IF(ISTEXT(R7),LEFT(R7,3),TEXT(R7,"#,##0"))," (", TEXT(S7,"0.0"),"%) were students with disabilities served under the Individuals with Disabilities Education Act (IDEA), and ",IF(ISTEXT(T7),LEFT(T7,3),TEXT(T7,"#,##0"))," (",TEXT(U7,"0.0"),"%) were students with disabilities served only under Section 504.")</f>
        <v>NOTE: Table reads (for 50 states, District of Columbia, and Puerto Rico totals):  Of all 926 public school female students subjected to mechanical restraint, 276 (29.8%) were students with disabilities served under the Individuals with Disabilities Education Act (IDEA), and 37 (4.0%) were students with disabilities served only under Section 504.</v>
      </c>
      <c r="C62" s="38"/>
      <c r="D62" s="38"/>
      <c r="E62" s="38"/>
      <c r="F62" s="38"/>
      <c r="G62" s="38"/>
      <c r="H62" s="38"/>
      <c r="I62" s="38"/>
      <c r="J62" s="38"/>
      <c r="K62" s="38"/>
      <c r="L62" s="38"/>
      <c r="M62" s="38"/>
      <c r="N62" s="38"/>
      <c r="O62" s="38"/>
      <c r="P62" s="38"/>
      <c r="Q62" s="38"/>
      <c r="R62" s="38"/>
      <c r="S62" s="38"/>
      <c r="T62" s="38"/>
      <c r="U62" s="38"/>
      <c r="V62" s="43"/>
      <c r="W62" s="44"/>
      <c r="X62" s="38"/>
      <c r="Y62" s="38"/>
    </row>
    <row r="63" spans="1:25" s="39" customFormat="1" ht="15" customHeight="1" x14ac:dyDescent="0.25">
      <c r="A63" s="41"/>
      <c r="B63" s="42" t="str">
        <f>CONCATENATE("            Table reads (for 50 states, District of Columbia, and Puerto Rico Race/Ethnicity):  Of all ",TEXT(C7,"#,##0")," public school female students ",(A7), ", ",TEXT(D7,"#,##0")," (",TEXT(E7,"0.0"),"%) were American Indian or Alaska Native.")</f>
        <v xml:space="preserve">            Table reads (for 50 states, District of Columbia, and Puerto Rico Race/Ethnicity):  Of all 926 public school female students subjected to mechanical restraint, 12 (1.3%) were American Indian or Alaska Native.</v>
      </c>
      <c r="C63" s="38"/>
      <c r="D63" s="38"/>
      <c r="E63" s="38"/>
      <c r="F63" s="38"/>
      <c r="G63" s="38"/>
      <c r="H63" s="38"/>
      <c r="I63" s="38"/>
      <c r="J63" s="38"/>
      <c r="K63" s="38"/>
      <c r="L63" s="38"/>
      <c r="M63" s="38"/>
      <c r="N63" s="38"/>
      <c r="O63" s="38"/>
      <c r="P63" s="38"/>
      <c r="Q63" s="38"/>
      <c r="R63" s="38"/>
      <c r="S63" s="38"/>
      <c r="T63" s="38"/>
      <c r="U63" s="38"/>
      <c r="V63" s="43"/>
      <c r="W63" s="44"/>
      <c r="X63" s="38"/>
      <c r="Y63" s="38"/>
    </row>
    <row r="64" spans="1:25" s="39" customFormat="1" ht="15" customHeight="1" x14ac:dyDescent="0.25">
      <c r="A64" s="41"/>
      <c r="B64" s="62" t="s">
        <v>72</v>
      </c>
      <c r="C64" s="38"/>
      <c r="D64" s="38"/>
      <c r="E64" s="38"/>
      <c r="F64" s="38"/>
      <c r="G64" s="38"/>
      <c r="H64" s="38"/>
      <c r="I64" s="38"/>
      <c r="J64" s="38"/>
      <c r="K64" s="38"/>
      <c r="L64" s="38"/>
      <c r="M64" s="38"/>
      <c r="N64" s="38"/>
      <c r="O64" s="38"/>
      <c r="P64" s="38"/>
      <c r="Q64" s="38"/>
      <c r="R64" s="38"/>
      <c r="S64" s="38"/>
      <c r="T64" s="38"/>
      <c r="U64" s="38"/>
      <c r="V64" s="43"/>
      <c r="W64" s="44"/>
      <c r="X64" s="38"/>
      <c r="Y64" s="38"/>
    </row>
    <row r="65" spans="1:25" s="39" customFormat="1" ht="15" customHeight="1" x14ac:dyDescent="0.3">
      <c r="A65" s="41"/>
      <c r="B65" s="62" t="s">
        <v>71</v>
      </c>
      <c r="C65" s="1"/>
      <c r="D65" s="1"/>
      <c r="E65" s="1"/>
      <c r="F65" s="1"/>
      <c r="G65" s="1"/>
      <c r="H65" s="1"/>
      <c r="I65" s="1"/>
      <c r="J65" s="1"/>
      <c r="K65" s="1"/>
      <c r="L65" s="1"/>
      <c r="M65" s="1"/>
      <c r="N65" s="1"/>
      <c r="O65" s="1"/>
      <c r="P65" s="1"/>
      <c r="Q65" s="1"/>
      <c r="R65" s="1"/>
      <c r="S65" s="1"/>
      <c r="T65" s="1"/>
      <c r="U65" s="1"/>
      <c r="V65" s="5"/>
      <c r="W65" s="6"/>
      <c r="X65" s="1"/>
      <c r="Y65" s="1"/>
    </row>
    <row r="66" spans="1:25" ht="15" customHeight="1" x14ac:dyDescent="0.3">
      <c r="B66" s="38"/>
    </row>
    <row r="67" spans="1:25" ht="15" customHeight="1" x14ac:dyDescent="0.3">
      <c r="B67" s="38"/>
    </row>
  </sheetData>
  <sortState xmlns:xlrd2="http://schemas.microsoft.com/office/spreadsheetml/2017/richdata2" ref="A8:Y59">
    <sortCondition ref="B8:B59"/>
  </sortState>
  <mergeCells count="15">
    <mergeCell ref="X4:X5"/>
    <mergeCell ref="Y4:Y5"/>
    <mergeCell ref="D5:E5"/>
    <mergeCell ref="F5:G5"/>
    <mergeCell ref="H5:I5"/>
    <mergeCell ref="J5:K5"/>
    <mergeCell ref="L5:M5"/>
    <mergeCell ref="N5:O5"/>
    <mergeCell ref="P5:Q5"/>
    <mergeCell ref="V4:W5"/>
    <mergeCell ref="B4:B5"/>
    <mergeCell ref="C4:C5"/>
    <mergeCell ref="D4:Q4"/>
    <mergeCell ref="R4:S5"/>
    <mergeCell ref="T4:U5"/>
  </mergeCells>
  <phoneticPr fontId="20" type="noConversion"/>
  <printOptions horizontalCentered="1"/>
  <pageMargins left="0.25" right="0.25" top="1" bottom="1" header="0.5" footer="0.5"/>
  <pageSetup paperSize="3" scale="70" orientation="landscape" horizontalDpi="4294967292" verticalDpi="4294967292" r:id="rId1"/>
  <extLst>
    <ext xmlns:mx="http://schemas.microsoft.com/office/mac/excel/2008/main" uri="{64002731-A6B0-56B0-2670-7721B7C09600}">
      <mx:PLV Mode="0" OnePage="0" WScale="4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Total</vt:lpstr>
      <vt:lpstr>Male</vt:lpstr>
      <vt:lpstr>Female</vt:lpstr>
      <vt:lpstr>Female!Print_Area</vt:lpstr>
      <vt:lpstr>Male!Print_Area</vt:lpstr>
      <vt:lpstr>Total!Print_Area</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 for Civil Rights</dc:creator>
  <cp:lastModifiedBy>Rosa Olmeda</cp:lastModifiedBy>
  <cp:lastPrinted>2018-08-23T20:07:00Z</cp:lastPrinted>
  <dcterms:created xsi:type="dcterms:W3CDTF">2014-03-02T22:16:30Z</dcterms:created>
  <dcterms:modified xsi:type="dcterms:W3CDTF">2021-05-26T13:22:56Z</dcterms:modified>
</cp:coreProperties>
</file>